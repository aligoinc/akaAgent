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Danh sách lỗi FB" sheetId="1" state="visible" r:id="rId1"/>
    <sheet name="2. Tóm tắt &amp; ưu tiên" sheetId="2" state="visible" r:id="rId2"/>
    <sheet name="3. Thống kê kết quả" sheetId="3" state="visible" r:id="rId3"/>
    <sheet name="4. Tài khoản &amp; chiến dịch" sheetId="4" state="visible" r:id="rId4"/>
    <sheet name="5. Cấu hình auto_error" sheetId="5" state="visible" r:id="rId5"/>
    <sheet name="6. Nguồn &amp; phương pháp" sheetId="6" state="visible" r:id="rId6"/>
  </sheets>
  <definedNames>
    <definedName name="_xlnm._FilterDatabase" localSheetId="0" hidden="1">'1. Danh sách lỗi FB'!$A$7:$O$38</definedName>
    <definedName name="_xlnm.Print_Titles" localSheetId="0">'1. Danh sách lỗi FB'!$7:$7</definedName>
  </definedNames>
  <calcPr calcId="124519" fullCalcOnLoad="1"/>
</workbook>
</file>

<file path=xl/styles.xml><?xml version="1.0" encoding="utf-8"?>
<styleSheet xmlns="http://schemas.openxmlformats.org/spreadsheetml/2006/main">
  <numFmts count="3">
    <numFmt numFmtId="164" formatCode="0.0%"/>
    <numFmt numFmtId="165" formatCode="yyyy-mm-dd"/>
    <numFmt numFmtId="166" formatCode="dd/mm/yyyy"/>
  </numFmts>
  <fonts count="8">
    <font>
      <name val="Calibri"/>
      <family val="2"/>
      <color theme="1"/>
      <sz val="11"/>
      <scheme val="minor"/>
    </font>
    <font>
      <name val="Arial"/>
      <b val="1"/>
      <color rgb="001F4E78"/>
      <sz val="14"/>
    </font>
    <font>
      <name val="Arial"/>
      <i val="1"/>
      <color rgb="00595959"/>
      <sz val="9"/>
    </font>
    <font>
      <name val="Arial"/>
      <b val="1"/>
      <color rgb="00FFFFFF"/>
      <sz val="10"/>
    </font>
    <font>
      <name val="Arial"/>
      <sz val="10"/>
    </font>
    <font>
      <name val="Arial"/>
      <b val="1"/>
      <sz val="10"/>
    </font>
    <font>
      <name val="Arial"/>
      <b val="1"/>
      <color rgb="001F4E78"/>
      <sz val="11"/>
    </font>
    <font>
      <name val="Arial"/>
      <color rgb="000000FF"/>
      <sz val="10"/>
    </font>
  </fonts>
  <fills count="11">
    <fill>
      <patternFill/>
    </fill>
    <fill>
      <patternFill patternType="gray125"/>
    </fill>
    <fill>
      <patternFill patternType="solid">
        <fgColor rgb="001F4E78"/>
        <bgColor rgb="001F4E78"/>
      </patternFill>
    </fill>
    <fill>
      <patternFill patternType="solid">
        <fgColor rgb="00375623"/>
        <bgColor rgb="00375623"/>
      </patternFill>
    </fill>
    <fill>
      <patternFill patternType="solid">
        <fgColor rgb="00843C0C"/>
        <bgColor rgb="00843C0C"/>
      </patternFill>
    </fill>
    <fill>
      <patternFill patternType="solid">
        <fgColor rgb="003A3838"/>
        <bgColor rgb="003A3838"/>
      </patternFill>
    </fill>
    <fill>
      <patternFill patternType="solid">
        <fgColor rgb="00548235"/>
        <bgColor rgb="00548235"/>
      </patternFill>
    </fill>
    <fill>
      <patternFill patternType="solid">
        <fgColor rgb="00C55A11"/>
        <bgColor rgb="00C55A11"/>
      </patternFill>
    </fill>
    <fill>
      <patternFill patternType="solid">
        <fgColor rgb="00595959"/>
        <bgColor rgb="00595959"/>
      </patternFill>
    </fill>
    <fill>
      <patternFill patternType="solid">
        <fgColor rgb="00F2F2F2"/>
        <bgColor rgb="00F2F2F2"/>
      </patternFill>
    </fill>
    <fill>
      <patternFill patternType="solid">
        <fgColor rgb="00DDEBF7"/>
        <bgColor rgb="00DD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9"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horizontal="center" vertical="center" wrapText="1"/>
    </xf>
    <xf numFmtId="0" fontId="6" fillId="0" borderId="0" pivotButton="0" quotePrefix="0" xfId="0"/>
    <xf numFmtId="3" fontId="7" fillId="0" borderId="1" applyAlignment="1" pivotButton="0" quotePrefix="0" xfId="0">
      <alignment vertical="top" wrapText="1"/>
    </xf>
    <xf numFmtId="3" fontId="4" fillId="0" borderId="1" applyAlignment="1" pivotButton="0" quotePrefix="0" xfId="0">
      <alignment vertical="top" wrapText="1"/>
    </xf>
    <xf numFmtId="164" fontId="4" fillId="0" borderId="1" applyAlignment="1" pivotButton="0" quotePrefix="0" xfId="0">
      <alignment vertical="top" wrapText="1"/>
    </xf>
    <xf numFmtId="0" fontId="4" fillId="10" borderId="1" applyAlignment="1" pivotButton="0" quotePrefix="0" xfId="0">
      <alignment vertical="top" wrapText="1"/>
    </xf>
    <xf numFmtId="0" fontId="5" fillId="10" borderId="1" applyAlignment="1" pivotButton="0" quotePrefix="0" xfId="0">
      <alignment vertical="top" wrapText="1"/>
    </xf>
    <xf numFmtId="3" fontId="5" fillId="10" borderId="1" applyAlignment="1" pivotButton="0" quotePrefix="0" xfId="0">
      <alignment vertical="top" wrapText="1"/>
    </xf>
    <xf numFmtId="164" fontId="5" fillId="10" borderId="1" applyAlignment="1" pivotButton="0" quotePrefix="0" xfId="0">
      <alignment vertical="top" wrapText="1"/>
    </xf>
    <xf numFmtId="0" fontId="2" fillId="0" borderId="0" pivotButton="0" quotePrefix="0" xfId="0"/>
    <xf numFmtId="166" fontId="4" fillId="0" borderId="1" applyAlignment="1" pivotButton="0" quotePrefix="0" xfId="0">
      <alignment horizontal="center" vertical="center" wrapText="1"/>
    </xf>
    <xf numFmtId="0" fontId="0" fillId="10" borderId="0" pivotButton="0" quotePrefix="0" xfId="0"/>
    <xf numFmtId="0" fontId="0" fillId="0" borderId="1" pivotButton="0" quotePrefix="0" xfId="0"/>
    <xf numFmtId="3" fontId="5" fillId="0" borderId="1" applyAlignment="1" pivotButton="0" quotePrefix="0" xfId="0">
      <alignment vertical="top" wrapText="1"/>
    </xf>
    <xf numFmtId="164" fontId="5" fillId="0" borderId="1" applyAlignment="1" pivotButton="0" quotePrefix="0" xfId="0">
      <alignment vertical="top" wrapText="1"/>
    </xf>
  </cellXfs>
  <cellStyles count="1">
    <cellStyle name="Normal" xfId="0" builtinId="0" hidden="0"/>
  </cellStyles>
  <dxfs count="6">
    <dxf>
      <font>
        <name val="Arial"/>
        <b val="1"/>
        <color rgb="00006100"/>
      </font>
      <fill>
        <patternFill patternType="solid">
          <fgColor rgb="00C6EFCE"/>
          <bgColor rgb="00C6EFCE"/>
        </patternFill>
      </fill>
    </dxf>
    <dxf>
      <font>
        <name val="Arial"/>
        <b val="1"/>
        <color rgb="009C5700"/>
      </font>
      <fill>
        <patternFill patternType="solid">
          <fgColor rgb="00FFEB9C"/>
          <bgColor rgb="00FFEB9C"/>
        </patternFill>
      </fill>
    </dxf>
    <dxf>
      <font>
        <name val="Arial"/>
        <b val="1"/>
        <color rgb="009C0006"/>
      </font>
      <fill>
        <patternFill patternType="solid">
          <fgColor rgb="00FFC7CE"/>
          <bgColor rgb="00FFC7CE"/>
        </patternFill>
      </fill>
    </dxf>
    <dxf>
      <font>
        <name val="Arial"/>
        <b val="1"/>
        <color rgb="00833C0B"/>
      </font>
      <fill>
        <patternFill patternType="solid">
          <fgColor rgb="00F8CBAD"/>
          <bgColor rgb="00F8CBAD"/>
        </patternFill>
      </fill>
    </dxf>
    <dxf>
      <font>
        <name val="Arial"/>
        <b val="1"/>
        <color rgb="00C65911"/>
      </font>
      <fill>
        <patternFill patternType="solid">
          <fgColor rgb="00FCE4D6"/>
          <bgColor rgb="00FCE4D6"/>
        </patternFill>
      </fill>
    </dxf>
    <dxf>
      <font>
        <name val="Arial"/>
        <b val="1"/>
        <color rgb="00404040"/>
      </font>
      <fill>
        <patternFill patternType="solid">
          <fgColor rgb="00EDEDED"/>
          <b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45"/>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5" customWidth="1" min="1" max="1"/>
    <col width="15" customWidth="1" min="2" max="2"/>
    <col width="27" customWidth="1" min="3" max="3"/>
    <col width="42" customWidth="1" min="4" max="4"/>
    <col width="22" customWidth="1" min="5" max="5"/>
    <col width="32" customWidth="1" min="6" max="6"/>
    <col width="46" customWidth="1" min="7" max="7"/>
    <col width="36" customWidth="1" min="8" max="8"/>
    <col width="38" customWidth="1" min="9" max="9"/>
    <col width="36" customWidth="1" min="10" max="10"/>
    <col width="50" customWidth="1" min="11" max="11"/>
    <col width="13" customWidth="1" min="12" max="12"/>
    <col width="50" customWidth="1" min="13" max="13"/>
    <col width="9" customWidth="1" min="14" max="14"/>
    <col width="34" customWidth="1" min="15" max="15"/>
  </cols>
  <sheetData>
    <row r="1" ht="24" customHeight="1">
      <c r="A1" s="1" t="inlineStr">
        <is>
          <t>DANH SÁCH LỖI FACEBOOK TRONG HỆ THỐNG auto_ – PHƯƠNG ÁN XỬ LÝ VÀ ĐÁNH GIÁ LOGIC HIỆN TẠI</t>
        </is>
      </c>
    </row>
    <row r="2" ht="26" customHeight="1">
      <c r="A2" s="2" t="inlineStr">
        <is>
          <t>Nguồn: Supabase “akachat” (ref cgjbsmqtfhqvttudyjzq) – bảng auto_campaign_details (Lịch sử hành động / danh sách kết quả), auto_runs (Lịch sử chạy), auto_campaign_error_state, auto_campaigns, auto_accounts, auto_account_logs, auto_error, auto_blocks; code nhánh dev_3 (commit a3b2aea). Số liệu chốt ngày 28/09/2026.</t>
        </is>
      </c>
    </row>
    <row r="3" ht="26" customHeight="1">
      <c r="A3" s="2" t="inlineStr">
        <is>
          <t>Cột “Mã lỗi”: mã có sẵn trong bảng auto_error ghi rõ id; mã ghi “ĐỀ XUẤT” là mã mới nên thêm vào auto_error – trong ngoặc là mã/trạng thái lỗi đó đang bị ghi hiện nay. “Bộ đếm” = bộ đếm data lỗi/thất bại liên tiếp của chiến dịch (auto_campaign_error_state). “Tiêu hao target” = dòng data bị đánh “hoàn thành” nên không bao giờ chạy lại.</t>
        </is>
      </c>
    </row>
    <row r="4" ht="26" customHeight="1">
      <c r="A4" s="2" t="inlineStr">
        <is>
          <t>Đánh giá: Đúng (xanh) · Đúng một phần (vàng) · Chưa đúng (đỏ) · Chưa có xử lý (cam). Ưu tiên: P0 = làm ngay (ảnh hưởng nhiều tài khoản / rủi ro khoá tài khoản) · P1 = sprint kế tiếp · P2 = cải thiện.</t>
        </is>
      </c>
    </row>
    <row r="6" ht="22" customHeight="1">
      <c r="A6" s="3" t="inlineStr">
        <is>
          <t>THÔNG TIN LỖI</t>
        </is>
      </c>
      <c r="B6" s="4" t="n"/>
      <c r="C6" s="4" t="n"/>
      <c r="D6" s="4" t="n"/>
      <c r="E6" s="4" t="n"/>
      <c r="F6" s="4" t="n"/>
      <c r="G6" s="5" t="n"/>
      <c r="H6" s="6" t="inlineStr">
        <is>
          <t>PHƯƠNG ÁN XỬ LÝ KHI GẶP LỖI NÀY (ĐỀ XUẤT – nên là như thế nào)</t>
        </is>
      </c>
      <c r="I6" s="4" t="n"/>
      <c r="J6" s="5" t="n"/>
      <c r="K6" s="7" t="inlineStr">
        <is>
          <t>PHƯƠNG ÁN &amp; LOGIC HIỆN TẠI – ĐÁNH GIÁ</t>
        </is>
      </c>
      <c r="L6" s="4" t="n"/>
      <c r="M6" s="5" t="n"/>
      <c r="N6" s="8" t="inlineStr">
        <is>
          <t>ƯU TIÊN / CĂN CỨ</t>
        </is>
      </c>
      <c r="O6" s="5" t="n"/>
    </row>
    <row r="7" ht="44" customHeight="1">
      <c r="A7" s="3" t="inlineStr">
        <is>
          <t>STT</t>
        </is>
      </c>
      <c r="B7" s="3" t="inlineStr">
        <is>
          <t>Nhóm lỗi</t>
        </is>
      </c>
      <c r="C7" s="3" t="inlineStr">
        <is>
          <t>Mã lỗi</t>
        </is>
      </c>
      <c r="D7" s="3" t="inlineStr">
        <is>
          <t>Nội dung lỗi
(thông điệp thực tế trong log)</t>
        </is>
      </c>
      <c r="E7" s="3" t="inlineStr">
        <is>
          <t>Chiến dịch / hành động bị ảnh hưởng</t>
        </is>
      </c>
      <c r="F7" s="3" t="inlineStr">
        <is>
          <t>Số liệu thực tế (DB)</t>
        </is>
      </c>
      <c r="G7" s="3" t="inlineStr">
        <is>
          <t>Ý nghĩa và bản chất của lỗi</t>
        </is>
      </c>
      <c r="H7" s="9" t="inlineStr">
        <is>
          <t>Đối với tài khoản Facebook</t>
        </is>
      </c>
      <c r="I7" s="9" t="inlineStr">
        <is>
          <t>Đối với chiến dịch</t>
        </is>
      </c>
      <c r="J7" s="9" t="inlineStr">
        <is>
          <t>Đối với hành động Facebook</t>
        </is>
      </c>
      <c r="K7" s="10" t="inlineStr">
        <is>
          <t>Phương án &amp; logic xử lý hiện tại</t>
        </is>
      </c>
      <c r="L7" s="10" t="inlineStr">
        <is>
          <t>Phương án cũ đã đúng chưa?</t>
        </is>
      </c>
      <c r="M7" s="10" t="inlineStr">
        <is>
          <t>Nếu chưa đúng – vấn đề là gì</t>
        </is>
      </c>
      <c r="N7" s="11" t="inlineStr">
        <is>
          <t>Ưu tiên sửa</t>
        </is>
      </c>
      <c r="O7" s="11" t="inlineStr">
        <is>
          <t>Căn cứ kỹ thuật (code / DB)</t>
        </is>
      </c>
    </row>
    <row r="8" ht="201" customHeight="1">
      <c r="A8" s="12" t="n">
        <v>1</v>
      </c>
      <c r="B8" s="13" t="inlineStr">
        <is>
          <t>Mục tiêu (group) / giao diện – Đăng bài group</t>
        </is>
      </c>
      <c r="C8" s="14" t="inlineStr">
        <is>
          <t>ĐỀ XUẤT: err_fb_group_cannot_post
(hiện tại: không có mã riêng → err_undefined)</t>
        </is>
      </c>
      <c r="D8" s="15" t="inlineStr">
        <is>
          <t>waitForSelector timeout: //*[@role='button' and (contains(.,'đang nghĩ gì') or contains(.,'on your mind') or contains(.,'Write something') or contains(.,'Bạn viết gì đi'))]
→ Không tìm thấy ô “Bạn viết gì đi…” để mở form đăng bài trong group.</t>
        </is>
      </c>
      <c r="E8" s="15" t="inlineStr">
        <is>
          <t>Đăng bài vào group (facebook_group_post) – hành động fb_post_group. Ít hơn ở Đăng bài trang cá nhân.</t>
        </is>
      </c>
      <c r="F8" s="15" t="inlineStr">
        <is>
          <t>37.949 lượt chạy lỗi (auto_runs) · 4.461 chiến dịch · 702 tài khoản · 15/05→28/09/2026.
Riêng 13–28/09: 10.865 lượt = 81% lượt lỗi đăng group.
491 chiến dịch có lý do đếm lỗi liên tiếp gần nhất là lỗi này (tối đa 36 lần liên tiếp).
Đăng trang cá nhân: 68 lượt.</t>
        </is>
      </c>
      <c r="G8" s="15" t="inlineStr">
        <is>
          <t>Trang group đã mở nhưng không có ô đăng bài. Đây là TRIỆU CHỨNG CHUNG của nhiều nguyên nhân khác nhau, không phải một lỗi code:
(1) Tài khoản chưa là thành viên / đang chờ duyệt tham gia (FB hiện nút “Tham gia nhóm” / “Hủy yêu cầu”).
(2) Group chỉ cho quản trị viên đăng, group bị tạm dừng/lưu trữ, group đã xoá hoặc link sai.
(3) Tài khoản bị đăng xuất / checkpoint / bị chặn tính năng nên trang hiển thị màn hình khác.
(4) Trang tải chậm (mạng/proxy) hoặc ô đăng bài có câu chữ khác 4 mẫu trong XPath (group mua bán, ngôn ngữ khác).
Bản chất: hệ thống không phân biệt được nguyên nhân nên gom hết thành 1 lỗi kỹ thuật.</t>
        </is>
      </c>
      <c r="H8" s="15" t="inlineStr">
        <is>
          <t>Chỉ tác động tài khoản khi nguyên nhân là (3): chuyển sang luồng err_logout / err_fb_checkpoint / err_fb_feature_blocked (dừng tài khoản, báo khách).
Với (1)(2)(4): KHÔNG đổi trạng thái tài khoản.</t>
        </is>
      </c>
      <c r="I8" s="15" t="inlineStr">
        <is>
          <t>Không tạm dừng cả chiến dịch vì 1 group lỗi; chạy tiếp group kế tiếp.
Ghi 1 dòng Lịch sử hành động “thất bại” với lý do dễ hiểu: “Chưa tham gia nhóm” / “Đang chờ duyệt tham gia” / “Nhóm chỉ admin được đăng” / “Nhóm không tồn tại”.
Lưu group vào danh sách “không đăng được” của tài khoản để các lần chạy sau tự bỏ qua (group chờ duyệt: hẹn thử lại sau N ngày).
Chỉ tính vào bộ đếm dừng chiến dịch với nguyên nhân (4) và khi lỗi lặp trên nhiều group khác nhau.</t>
        </is>
      </c>
      <c r="J8" s="15" t="inlineStr">
        <is>
          <t>Trước khi mở form: kiểm tra trạng thái group (nút Tham gia / Hủy yêu cầu / thông báo chỉ admin đăng / nội dung không khả dụng / URL checkpoint-login).
Nếu chưa tham gia và chiến dịch bật “tự tham gia”: gửi yêu cầu tham gia (fb_join_group, tính hạn mức fb_join_group) rồi bỏ qua group, hẹn đăng lại khi được duyệt.
Trang tải chậm: reload 1 lần, chờ lâu hơn rồi mới kết luận.
Không tính vào hạn mức fb_post_group (chưa đăng lên FB).</t>
        </is>
      </c>
      <c r="K8" s="15" t="inlineStr">
        <is>
          <t>Block fb_open_composer chờ XPath 15 giây → throw “waitForSelector timeout…”.
Lượt chạy failed → KHÔNG ghi dòng nào vào Lịch sử hành động (auto_campaign_details); chỉ ghi log chiến dịch “❌ Lỗi …” kèm nguyên XPath.
input_data = “hoàn thành” + note là XPath (group bị coi như đã xử lý, không chạy lại).
normalizeRuntimeError → err_undefined → tăng bộ đếm lỗi liên tiếp; đủ 4 lần → AI chẩn đoán ảnh chụp → chiến dịch “tạm dừng”, note “Dừng sau N data lỗi/thất bại liên tiếp…” hoặc “Có lỗi xảy ra”; không tự chạy lại.
Bước “Tham gia nhóm nếu chưa là thành viên” (fb_join_group_if_not_member) nằm SAU bước đăng bài trong workflow nên bị bỏ qua đúng lúc cần nó.</t>
        </is>
      </c>
      <c r="L8" s="16" t="inlineStr">
        <is>
          <t>Chưa đúng</t>
        </is>
      </c>
      <c r="M8" s="15" t="inlineStr">
        <is>
          <t>Lỗi lớn nhất của Facebook (≈38K lượt, 702 tài khoản) nhưng bị xếp vào err_undefined → không biết nguyên nhân, không có hành động phù hợp.
Không có dòng Lịch sử hành động → khách không thấy group nào lỗi và vì sao (theo Lịch sử hành động tỷ lệ lỗi đăng group chỉ ~1,4%).
Lộ XPath kỹ thuật ra log/note cho khách.
Group chưa tham gia vẫn nằm trong danh sách → chiến dịch lặp hằng ngày sẽ lỗi lại mãi, tốn lượt, tăng dấu hiệu spam.
Tính năng tự tham gia nhóm không bao giờ chạy trong trường hợp này.
Dừng cả chiến dịch sau 4 group lỗi liên tiếp → khách phải bật lại thủ công.</t>
        </is>
      </c>
      <c r="N8" s="16" t="inlineStr">
        <is>
          <t>P0</t>
        </is>
      </c>
      <c r="O8" s="15" t="inlineStr">
        <is>
          <t>auto_blocks.fb_open_composer (#27); auto_elements.fb_composer_button; auto_workflows id 1 (merge_leave → if_join → join_group); campaignScheduler.ts:3921-3959, 8725-8769, 9031-9131; auto_error err_undefined (ngưỡng 4).</t>
        </is>
      </c>
    </row>
    <row r="9" ht="175" customHeight="1">
      <c r="A9" s="12" t="n">
        <v>2</v>
      </c>
      <c r="B9" s="13" t="inlineStr">
        <is>
          <t>Giới hạn / chặn từ Facebook</t>
        </is>
      </c>
      <c r="C9" s="14" t="inlineStr">
        <is>
          <t>err_group_post_frequency_limit
(đã có trong auto_error, id 6)</t>
        </is>
      </c>
      <c r="D9" s="15" t="inlineStr">
        <is>
          <t>Lỗi đăng bài vào &lt;group&gt;: Facebook báo giới hạn tần suất bạn đăng bài</t>
        </is>
      </c>
      <c r="E9" s="15" t="inlineStr">
        <is>
          <t>Đăng bài vào group – fb_post_group.</t>
        </is>
      </c>
      <c r="F9" s="15" t="inlineStr">
        <is>
          <t>3.847 dòng “lỗi” trong Lịch sử hành động (06/06→28/09/2026) · 3.842 lượt chạy lỗi · 1.297 chiến dịch · 306 tài khoản.
58 chiến dịch đang “tạm dừng” với note này.</t>
        </is>
      </c>
      <c r="G9" s="15" t="inlineStr">
        <is>
          <t>Facebook áp giới hạn tần suất (rate limit) cho TÀI KHOẢN vì đăng quá nhiều/quá nhanh (chống spam). Thông báo chung của FB: giới hạn tần suất đăng bài, bình luận hoặc thao tác khác trong một khoảng thời gian.
Đây là lỗi nghiệp vụ từ FB ở cấp tài khoản + hành động, không phải lỗi của 1 group hay 1 chiến dịch. Tiếp tục đăng sẽ kéo dài/nặng thêm hình phạt.</t>
        </is>
      </c>
      <c r="H9" s="15" t="inlineStr">
        <is>
          <t>Đánh dấu tài khoản “đang bị giới hạn đăng bài” (cảnh báo trên màn hình tài khoản).
Tự giảm hạn mức giờ/ngày của fb_post_group (ví dụ -50% trong 3 ngày) để “làm nóng” lại. Không đổi login_status.</t>
        </is>
      </c>
      <c r="I9" s="15" t="inlineStr">
        <is>
          <t>TẤT CẢ chiến dịch đăng group của tài khoản chuyển “chờ xử lý” (không phải “tạm dừng”) với note “Facebook đang giới hạn tần suất đăng bài – tự chạy lại lúc HH:mm”.
Group đang đăng trả về “chờ xử lý” (không tiêu hao) để đăng lại sau.
Tự chạy lại khi hết thời gian khóa.</t>
        </is>
      </c>
      <c r="J9" s="15" t="inlineStr">
        <is>
          <t>Khóa fb_post_group của tài khoản có thời hạn tăng dần: lần 1 khoảng 6–12 giờ (hoặc tới 0h hôm sau), lần 2 trong 7 ngày → 24 giờ, lần 3 → 72 giờ (dùng disable_action_codes + disable_action_mode).
Ghi dòng lịch sử “thất bại” + error_code, counts_toward_limit = true (đã chạm FB).
Cân nhắc khóa cả fb_comment vì FB dùng chung thông báo.</t>
        </is>
      </c>
      <c r="K9" s="15" t="inlineStr">
        <is>
          <t>Block fb_verify_group_post_form_closed chờ form đóng 60s (180s nếu có video); nếu chưa đóng và thấy phần tử chứa “giới hạn tần suất bạn đăng bài” → throw.
normalizeRuntimeError dò chuỗi → err_group_post_frequency_limit; dòng lịch sử “lỗi” + error_code.
Input group = “hoàn thành” (bị tiêu hao).
Policy không có ngưỡng → áp ngay: CHỈ chiến dịch hiện tại = “tạm dừng” + note; không khóa hành động (disable_action_codes rỗng), không đổi tài khoản.
Chiến dịch “tạm dừng” không bao giờ tự chạy lại (scheduler chỉ lấy “chờ xử lý”).</t>
        </is>
      </c>
      <c r="L9" s="16" t="inlineStr">
        <is>
          <t>Đúng một phần</t>
        </is>
      </c>
      <c r="M9" s="15" t="inlineStr">
        <is>
          <t>Phát hiện đúng nhưng xử lý sai cấp: giới hạn là của tài khoản mà chỉ dừng 1 chiến dịch → các chiến dịch đăng group khác cùng tài khoản vẫn chạy và tiếp tục dính giới hạn (1.297 chiến dịch / 306 tài khoản).
Không tự chạy lại → khách phải bật tay; nhiều chiến dịch “tạm dừng” vô thời hạn.
Group bị tiêu hao, không được đăng lại.
Ghi “lỗi” (theo quy ước là lỗi phần mềm) nên không tính hạn mức dù đã chạm FB.
XPath //*[contains(.,…)] khớp cả thẻ html/body → có thể báo nhầm nếu cụm chữ xuất hiện ở nội dung khác trên trang; cột error_element trong auto_error không được code dùng.</t>
        </is>
      </c>
      <c r="N9" s="16" t="inlineStr">
        <is>
          <t>P0</t>
        </is>
      </c>
      <c r="O9" s="15" t="inlineStr">
        <is>
          <t>auto_blocks #2624; auto_elements.GroupPostFrequencyLimitError; campaignScheduler.ts:8764-8766, 9056-9059, 9007-9025; campaignRepository.ts:3359.</t>
        </is>
      </c>
    </row>
    <row r="10" ht="123" customHeight="1">
      <c r="A10" s="12" t="n">
        <v>3</v>
      </c>
      <c r="B10" s="13" t="inlineStr">
        <is>
          <t>Tài khoản / phiên đăng nhập</t>
        </is>
      </c>
      <c r="C10" s="14" t="inlineStr">
        <is>
          <t>ĐỀ XUẤT: err_fb_checkpoint
(hiện tại: dùng chung err_logout)</t>
        </is>
      </c>
      <c r="D10" s="15" t="inlineStr">
        <is>
          <t>Tài khoản bị checkpoint / yêu cầu xác minh danh tính (URL /checkpoint, two_step_verification, confirm identity…) – hiện đang báo là “Tài khoản bị đăng xuất”.</t>
        </is>
      </c>
      <c r="E10" s="15" t="inlineStr">
        <is>
          <t>Tất cả chiến dịch Facebook của tài khoản.</t>
        </is>
      </c>
      <c r="F10" s="15" t="inlineStr">
        <is>
          <t>5 tài khoản FB đang có login_status = “checkpoint” (28/09).
24–27/09: 4 lần chuyển sang checkpoint, 2 lần gỡ được (auto_account_logs).
Phần lớn checkpoint giữa chiến dịch KHÔNG được ghi nhận (bị che trong lỗi STT 1, 13).</t>
        </is>
      </c>
      <c r="G10" s="15" t="inlineStr">
        <is>
          <t>Facebook nghi ngờ hoạt động bất thường, khoá tạm tài khoản và bắt xác minh (SĐT, ảnh, 2FA, khuôn mặt).
Lỗi cấp tài khoản, rủi ro cao: tiếp tục thao tác có thể dẫn tới khoá vĩnh viễn.</t>
        </is>
      </c>
      <c r="H10" s="15" t="inlineStr">
        <is>
          <t>login_status = “checkpoint”; trạng thái tài khoản = “tạm dừng” (dừng toàn bộ automation).
Gửi cảnh báo khẩn cho khách kèm hướng dẫn xác minh; KHÔNG tự đăng nhập lại liên tục.
Sau khi gỡ: chế độ “làm nóng” – giảm hạn mức 3–7 ngày.</t>
        </is>
      </c>
      <c r="I10" s="15" t="inlineStr">
        <is>
          <t>Mọi chiến dịch của tài khoản → “chờ xử lý” với note “Tài khoản cần xác minh (checkpoint)”.
Target không bị tiêu hao; tự chạy lại sau khi khách xác nhận đã gỡ.</t>
        </is>
      </c>
      <c r="J10" s="15" t="inlineStr">
        <is>
          <t>Khóa tất cả action code FB của tài khoản không thời hạn (indefinite) tới khi gỡ checkpoint; không tính hạn mức, không tính bộ đếm lỗi.</t>
        </is>
      </c>
      <c r="K10" s="15" t="inlineStr">
        <is>
          <t>Poller (tab đang hiển thị, 30 giây/lần) trả “đã đăng nhập” ngay khi còn cookie c_user – kiểm tra cookie TRƯỚC checkpoint → tài khoản bị checkpoint thường vẫn hiện “đã đăng nhập”.
Tài khoản đăng nhập tự động: kiểm tra HTTP có phát hiện redirect /checkpoint nhưng kết quả được cache.
Khi login_status = “checkpoint”, scheduler báo “Tài khoản bị đăng xuất” (err_logout) → chiến dịch “chờ xử lý”.
Các block Facebook không kiểm tra trang checkpoint.</t>
        </is>
      </c>
      <c r="L10" s="16" t="inlineStr">
        <is>
          <t>Chưa đúng</t>
        </is>
      </c>
      <c r="M10" s="15" t="inlineStr">
        <is>
          <t>Không có mã/luồng riêng cho checkpoint; thông báo sai (đăng xuất).
Phát hiện muộn hoặc không phát hiện → phần mềm tiếp tục thao tác trên tài khoản đang bị nghi ngờ, tăng nguy cơ mất tài khoản.
Không có chế độ làm nóng sau khi gỡ.</t>
        </is>
      </c>
      <c r="N10" s="16" t="inlineStr">
        <is>
          <t>P0</t>
        </is>
      </c>
      <c r="O10" s="15" t="inlineStr">
        <is>
          <t>accountPoller.ts:29-41; facebookSessionRequest.ts:24-30; facebookLoginService.ts:445-457; campaignScheduler.ts:8549-8557.</t>
        </is>
      </c>
    </row>
    <row r="11" ht="110" customHeight="1">
      <c r="A11" s="12" t="n">
        <v>4</v>
      </c>
      <c r="B11" s="13" t="inlineStr">
        <is>
          <t>Tài khoản / hạn chế tính năng</t>
        </is>
      </c>
      <c r="C11" s="14" t="inlineStr">
        <is>
          <t>ĐỀ XUẤT: err_fb_feature_blocked (theo từng hành động)
(hiện tại: không phát hiện)</t>
        </is>
      </c>
      <c r="D11" s="15" t="inlineStr">
        <is>
          <t>Thông báo kiểu “Bạn tạm thời bị chặn…”, “Tính năng này tạm thời bị chặn”, “Tài khoản của bạn bị hạn chế” – hiện KHÔNG được hệ thống nhận diện.</t>
        </is>
      </c>
      <c r="E11" s="15" t="inlineStr">
        <is>
          <t>Đăng bài, comment, nhắn tin, kết bạn, tham gia group, mời vào group.</t>
        </is>
      </c>
      <c r="F11" s="15" t="inlineStr">
        <is>
          <t>Không có số liệu trực tiếp (không block Facebook nào dò các thông báo này).
Biểu hiện bị che trong: lỗi không thấy ô đăng bài / ô chat / ô bình luận (STT 1, 7, 9, 13), “Form chưa đóng” (STT 12), “Bỏ qua kết bạn” ghi thành công (STT 11).</t>
        </is>
      </c>
      <c r="G11" s="15" t="inlineStr">
        <is>
          <t>FB chặn riêng một tính năng của tài khoản trong một thời gian (vài giờ tới vài ngày, thường có ghi ngày hết hạn) vì hành vi giống spam.
Khác checkpoint: vẫn đăng nhập được nhưng không làm được hành động đó.</t>
        </is>
      </c>
      <c r="H11" s="15" t="inlineStr">
        <is>
          <t>Đánh dấu tài khoản “bị hạn chế tính năng X đến &lt;thời điểm&gt;” + cảnh báo khách; khi mở lại thì giảm hạn mức hành động đó.</t>
        </is>
      </c>
      <c r="I11" s="15" t="inlineStr">
        <is>
          <t>Chiến dịch dùng hành động bị chặn → “chờ xử lý” + note có giờ mở lại; tự chạy lại; target không bị tiêu hao.
Chiến dịch dùng hành động khác của cùng tài khoản vẫn chạy.</t>
        </is>
      </c>
      <c r="J11" s="15" t="inlineStr">
        <is>
          <t>Khóa đúng action code bị chặn (days_at_time / fixed_minutes theo thời hạn FB ghi, mặc định 24–72h).
Bổ sung các thông báo này vào bộ dò lỗi dùng chung, kiểm tra sau mỗi thao tác quan trọng.</t>
        </is>
      </c>
      <c r="K11" s="15" t="inlineStr">
        <is>
          <t>Chưa có xử lý: không có mã lỗi, không có XPath dò; cột error_element của auto_error không được code dùng.
Các trường hợp này rơi vào err_undefined (tạm dừng sau 4 lần), “thất bại”, thậm chí “thành công”.</t>
        </is>
      </c>
      <c r="L11" s="16" t="inlineStr">
        <is>
          <t>Chưa có xử lý</t>
        </is>
      </c>
      <c r="M11" s="15" t="inlineStr">
        <is>
          <t>Tài khoản bị chặn vẫn tiếp tục thao tác (tăng nguy cơ checkpoint/khoá); khách không được báo; số liệu thành công/thất bại bị sai.</t>
        </is>
      </c>
      <c r="N11" s="16" t="inlineStr">
        <is>
          <t>P0</t>
        </is>
      </c>
      <c r="O11" s="15" t="inlineStr">
        <is>
          <t>16 block Facebook đang chạy trong auto_blocks không dò các cụm “tạm thời bị chặn”/“temporarily blocked”; mappers.ts:168 (errorElement chỉ được map, không được đọc).</t>
        </is>
      </c>
    </row>
    <row r="12" ht="136" customHeight="1">
      <c r="A12" s="12" t="n">
        <v>5</v>
      </c>
      <c r="B12" s="13" t="inlineStr">
        <is>
          <t>Nhắn tin inbox page</t>
        </is>
      </c>
      <c r="C12" s="14" t="inlineStr">
        <is>
          <t>ĐỀ XUẤT: err_fb_page_inbox_cannot_reply
(hiện tại: err_undefined, status “lỗi”)</t>
        </is>
      </c>
      <c r="D12" s="15" t="inlineStr">
        <is>
          <t>Lỗi nhắn tin khách inbox page đến &lt;khách&gt;: Không tìm thấy ô để nhập tin nhắn</t>
        </is>
      </c>
      <c r="E12" s="15" t="inlineStr">
        <is>
          <t>Gửi tin nhắn đến khách từng inbox với page (facebook_page_to_message) – fb_message_page_inbox_customer.</t>
        </is>
      </c>
      <c r="F12" s="15" t="inlineStr">
        <is>
          <t>9.356 dòng “lỗi” (02/06→28/09/2026) ≈ 6,1% tổng lượt gửi · 9.358 lượt chạy lỗi · 158 chiến dịch · 40 tài khoản.
Có chiến dịch dừng với ghi chú AI “Ô nhập tin nhắn bị ẩn…”.</t>
        </is>
      </c>
      <c r="G12" s="15" t="inlineStr">
        <is>
          <t>Đã mở đúng hội thoại nhưng không có ô soạn tin. Khả năng cao hội thoại bị Facebook khóa trả lời: quá khung thời gian Page được phép nhắn (24 giờ / 7 ngày kể từ tin nhắn cuối của khách theo chính sách Messenger), khách đã chặn Page, hoặc tài khoản khách không còn hoạt động; số ít do giao diện Business Suite tải chưa xong.
(Giả thuyết cần xác minh bằng ảnh chụp lỗi – cùng lượt chạy vẫn gửi được cho khách khác nên không phải lỗi toàn cục.)</t>
        </is>
      </c>
      <c r="H12" s="15" t="inlineStr">
        <is>
          <t>Không đổi trạng thái tài khoản/Page (lỗi thuộc từng hội thoại).</t>
        </is>
      </c>
      <c r="I12" s="15" t="inlineStr">
        <is>
          <t>Ghi “thất bại – không thể trả lời hội thoại này” (hoặc trạng thái riêng “không thể gửi”); không tính bộ đếm dừng chiến dịch; không dừng chiến dịch; không gửi lại.
Khi quét data: lọc hoặc cảnh báo khách có lần tương tác cuối quá 7 ngày.</t>
        </is>
      </c>
      <c r="J12" s="15" t="inlineStr">
        <is>
          <t>Đọc thông báo thay thế ô soạn tin (quá hạn trả lời, người dùng không khả dụng) để phân loại; không có thông báo → reload 1 lần rồi thử lại.
Không tính vào hạn mức fb_message_page_inbox_customer.</t>
        </is>
      </c>
      <c r="K12" s="15" t="inlineStr">
        <is>
          <t>fb_send_page_inbox_message throw “Không tìm thấy ô để nhập tin nhắn” → dòng lịch sử “lỗi” + err_undefined (không tính hạn mức); input “hoàn thành”.
Tăng bộ đếm lỗi liên tiếp; riêng inbox page: đủ 4 lần → chuyển “chờ xử lý” tự chạy lại 1 lần, đủ 8 lần → “tạm dừng” + AI chẩn đoán ảnh.</t>
        </is>
      </c>
      <c r="L12" s="16" t="inlineStr">
        <is>
          <t>Chưa đúng</t>
        </is>
      </c>
      <c r="M12" s="15" t="inlineStr">
        <is>
          <t>Giới hạn nghiệp vụ theo từng khách bị coi là lỗi hệ thống “Có lỗi xảy ra” → chiến dịch bị dừng lặp lại dù phần lớn khách vẫn gửi được.
Không hướng dẫn khách lọc data theo thời gian tương tác.
AI chẩn đoán “lỗi hiển thị” có thể sai bản chất.</t>
        </is>
      </c>
      <c r="N12" s="16" t="inlineStr">
        <is>
          <t>P0</t>
        </is>
      </c>
      <c r="O12" s="15" t="inlineStr">
        <is>
          <t>auto_blocks.fb_send_page_inbox_message (#2679); campaignScheduler.ts:10680-10722, 9076-9118.</t>
        </is>
      </c>
    </row>
    <row r="13" ht="123" customHeight="1">
      <c r="A13" s="12" t="n">
        <v>6</v>
      </c>
      <c r="B13" s="13" t="inlineStr">
        <is>
          <t>Tài khoản / phiên đăng nhập</t>
        </is>
      </c>
      <c r="C13" s="14" t="inlineStr">
        <is>
          <t>err_logout
(đã có trong auto_error, id 1)</t>
        </is>
      </c>
      <c r="D13" s="15" t="inlineStr">
        <is>
          <t>Tài khoản bị đăng xuất</t>
        </is>
      </c>
      <c r="E13" s="15" t="inlineStr">
        <is>
          <t>Tất cả chiến dịch Facebook của tài khoản.</t>
        </is>
      </c>
      <c r="F13" s="15" t="inlineStr">
        <is>
          <t>21–27/09: 33 lần chuyển “đã đăng nhập → chưa đăng nhập” (18 tài khoản).
Hiện có 143 tài khoản FB “chưa đăng nhập” / 1.081 tài khoản FB đang dùng (28/09).</t>
        </is>
      </c>
      <c r="G13" s="15" t="inlineStr">
        <is>
          <t>Phiên đăng nhập Facebook của tài khoản không còn (cookie hết hạn, FB buộc đăng xuất, đổi mật khẩu, đăng nhập nơi khác).
Lỗi cấp tài khoản: mọi hành động đều không chạy được.</t>
        </is>
      </c>
      <c r="H13" s="15" t="inlineStr">
        <is>
          <t>Cập nhật login_status “chưa đăng nhập” + ghi auto_account_logs + thông báo khách.
Tài khoản đăng nhập tự động (có mật khẩu/2FA): thử tự đăng nhập lại có giới hạn số lần; thất bại thì chờ khách.</t>
        </is>
      </c>
      <c r="I13" s="15" t="inlineStr">
        <is>
          <t>Mọi chiến dịch của tài khoản → “chờ xử lý” + note “Tài khoản bị đăng xuất – đăng nhập lại để chạy tiếp”; target đang chạy trả về “chờ xử lý”; tự chạy lại khi đăng nhập lại.</t>
        </is>
      </c>
      <c r="J13" s="15" t="inlineStr">
        <is>
          <t>Dừng mọi hành động; không tính hạn mức, không tính bộ đếm lỗi.</t>
        </is>
      </c>
      <c r="K13" s="15" t="inlineStr">
        <is>
          <t>Chỉ dựa vào auto_accounts.login_status (poller 30 giây cho tab đang hiển thị: có cookie c_user = đã đăng nhập; tài khoản đăng nhập tự động kiểm tra HTTP có cache).
Scheduler kiểm tra trước mỗi target và mỗi 5 giây: khác “đã đăng nhập” → err_logout → chiến dịch “chờ xử lý” + note; input trả “chờ xử lý”; không ghi Lịch sử hành động; tự chạy lại khi login_status trở lại.
Vòng quét 30 giây bỏ qua tài khoản chưa đăng nhập mà không ghi note.</t>
        </is>
      </c>
      <c r="L13" s="16" t="inlineStr">
        <is>
          <t>Đúng một phần</t>
        </is>
      </c>
      <c r="M13" s="15" t="inlineStr">
        <is>
          <t>Hướng xử lý (chờ + tự chạy lại + không tiêu hao target) là đúng.
Nhưng phát hiện yếu: đăng xuất xảy ra trong cửa sổ chạy ẩn thường không cập nhật login_status → lượt chạy lỗi thành “không thấy ô đăng bài” (err_undefined), target bị tiêu hao và chiến dịch bị “tạm dừng”.
Chiến dịch nằm “chờ xử lý” mà không có ghi chú rõ ở vòng quét.</t>
        </is>
      </c>
      <c r="N13" s="16" t="inlineStr">
        <is>
          <t>P1</t>
        </is>
      </c>
      <c r="O13" s="15" t="inlineStr">
        <is>
          <t>campaignScheduler.ts:8549-8557, 8598-8611, 3731-3763, 1446-1448; accountPoller.ts:14, 29-41.</t>
        </is>
      </c>
    </row>
    <row r="14" ht="136" customHeight="1">
      <c r="A14" s="12" t="n">
        <v>7</v>
      </c>
      <c r="B14" s="13" t="inlineStr">
        <is>
          <t>Comment</t>
        </is>
      </c>
      <c r="C14" s="14" t="inlineStr">
        <is>
          <t>ĐỀ XUẤT: err_fb_cannot_comment (phân loại: tắt bình luận / bài chờ duyệt / chưa là thành viên / bị chặn bình luận)
(hiện tại: “thất bại” không mã; Comment bài post: err_undefined)</t>
        </is>
      </c>
      <c r="D14" s="15" t="inlineStr">
        <is>
          <t>Không comment được bài thứ N / bài đầu tiên / bài của mình: waitForSelector timeout: (//div[@aria-label='Viết bình luận...' or …)  hoặc  //*[@role='dialog']//*[@role='textbox' and contains(@aria-label,'Bình luận')…]</t>
        </is>
      </c>
      <c r="E14" s="15" t="inlineStr">
        <is>
          <t>Comment sau khi đăng group, Comment seeding (group/page/profile), Comment seeding bài post – fb_comment.</t>
        </is>
      </c>
      <c r="F14" s="15" t="inlineStr">
        <is>
          <t>Lịch sử hành động “thất bại”: Đăng group 5.064 (trong đó “bài của mình” ≈2.015), Comment seeding 7.268, Comment bài post 1.460 (tới 06/07).
Lịch sử chạy: Comment bài post 4.641 lượt lỗi · 706 chiến dịch · 185 tài khoản (từ 07/2026 lỗi làm cả lượt chạy thất bại, không còn dòng lịch sử); 247 chiến dịch bị đếm lỗi liên tiếp vì lỗi này.</t>
        </is>
      </c>
      <c r="G14" s="15" t="inlineStr">
        <is>
          <t>Không có ô bình luận vì: tác giả/admin tắt bình luận, bài của chính mình trong group đang chờ admin duyệt, chưa là thành viên group, bài đã xoá/không khả dụng, bài dạng reel/video mở giao diện khác, tài khoản bị FB chặn bình luận, hoặc tải chậm.
Phần lớn là trạng thái của BÀI VIẾT (cấp target), một phần là trạng thái tài khoản.</t>
        </is>
      </c>
      <c r="H14" s="15" t="inlineStr">
        <is>
          <t>Chỉ khi phát hiện thông báo chặn bình luận/giới hạn tần suất → khóa fb_comment có thời hạn (như STT 8).</t>
        </is>
      </c>
      <c r="I14" s="15" t="inlineStr">
        <is>
          <t>Bài không cho bình luận / không khả dụng: ghi “thất bại – bài không cho bình luận”, chạy tiếp, không tính bộ đếm dừng.
Bài của mình đang chờ duyệt: bỏ qua comment, hẹn comment khi bài được duyệt.
Chỉ dừng chiến dịch nếu nhiều bài khác nhau liên tiếp đều không bình luận được (nghi tài khoản bị chặn).</t>
        </is>
      </c>
      <c r="J14" s="15" t="inlineStr">
        <is>
          <t>Kiểm tra trạng thái bài trước khi tìm ô bình luận (nút Tham gia, thông báo tắt bình luận, bài chờ duyệt); thử mở bài ở chế độ chi tiết 1 lần.
Không tính hạn mức fb_comment khi chưa gửi được bình luận.</t>
        </is>
      </c>
      <c r="K14" s="15" t="inlineStr">
        <is>
          <t>Block comment bắt lỗi → dòng “thất bại” (không mã lỗi) với nguyên XPath trong log; “thất bại” bị tính vào hạn mức fb_comment; comment thất bại chỉ tính bộ đếm dừng khi cả target không có thành công.
Comment seeding bài post: lỗi chờ ô bình luận trong dialog làm lượt chạy failed → err_undefined → bộ đếm → “tạm dừng” sau 4 lần.
Có bước điều chỉnh comment khi bài chờ duyệt nhưng vẫn phát sinh ≈2.015 lỗi “bài của mình”.</t>
        </is>
      </c>
      <c r="L14" s="16" t="inlineStr">
        <is>
          <t>Chưa đúng</t>
        </is>
      </c>
      <c r="M14" s="15" t="inlineStr">
        <is>
          <t>Lỗi kỹ thuật (không thấy phần tử) bị ghi như FB từ chối và ăn hạn mức comment.
Không phân loại nguyên nhân nên không biết nên bỏ qua bài hay dừng tài khoản.
Lộ XPath dài ra lịch sử khách hàng.
Comment bài post bị dừng chiến dịch vì các bài không cho bình luận.</t>
        </is>
      </c>
      <c r="N14" s="16" t="inlineStr">
        <is>
          <t>P1</t>
        </is>
      </c>
      <c r="O14" s="15" t="inlineStr">
        <is>
          <t>auto_blocks #34 (fb_comment_at_position), #2616 (fb_comment_current_post); campaignScheduler.ts:10573-10622, 8797.</t>
        </is>
      </c>
    </row>
    <row r="15" ht="123" customHeight="1">
      <c r="A15" s="12" t="n">
        <v>8</v>
      </c>
      <c r="B15" s="13" t="inlineStr">
        <is>
          <t>Giới hạn / chặn từ Facebook</t>
        </is>
      </c>
      <c r="C15" s="14" t="inlineStr">
        <is>
          <t>err_comment_frequency_limit
(đã có trong auto_error, id 34)</t>
        </is>
      </c>
      <c r="D15" s="15" t="inlineStr">
        <is>
          <t>Facebook báo giới hạn tần suất comment</t>
        </is>
      </c>
      <c r="E15" s="15" t="inlineStr">
        <is>
          <t>Comment seeding (group/page/profile &amp; bài post), comment sau khi đăng group, comment newsfeed – fb_comment.</t>
        </is>
      </c>
      <c r="F15" s="15" t="inlineStr">
        <is>
          <t>47 lượt chạy lỗi (Comment seeding 28, Comment bài post 11, Đăng group 8) · ~29 chiến dịch (01/07→26/09/2026).
3 chiến dịch đang “tạm dừng” với note này.
Không có dòng nào trong Lịch sử hành động (bước comment lỗi không được ghi).</t>
        </is>
      </c>
      <c r="G15" s="15" t="inlineStr">
        <is>
          <t>Cùng cơ chế rate limit như STT 2 nhưng khi bình luận: FB tạm chặn việc bình luận của tài khoản vì bình luận dày / nội dung lặp.
Lỗi cấp tài khoản cho hành động bình luận.</t>
        </is>
      </c>
      <c r="H15" s="15" t="inlineStr">
        <is>
          <t>Cảnh báo tài khoản đang bị giới hạn bình luận; giảm hạn mức fb_comment tạm thời.</t>
        </is>
      </c>
      <c r="I15" s="15" t="inlineStr">
        <is>
          <t>Mọi chiến dịch có bình luận của tài khoản → “chờ xử lý” + note có giờ chạy lại.
Chiến dịch đăng group có kèm comment: vẫn cho ĐĂNG BÀI tiếp (chỉ bỏ qua bước comment) thay vì dừng cả chiến dịch; bài đã đăng được đánh dấu “comment sau”.</t>
        </is>
      </c>
      <c r="J15" s="15" t="inlineStr">
        <is>
          <t>Khóa fb_comment có thời hạn tăng dần (6–12h → 24h → 72h).
Ghi dòng lịch sử “thất bại” + error_code cho lượt comment bị chặn.
Nên đổi nội dung (spin/AI) và giãn cách.</t>
        </is>
      </c>
      <c r="K15" s="15" t="inlineStr">
        <is>
          <t>Các block comment kiểm tra phần tử “giới hạn tần suất bạn đăng bài” (dùng chung element với đăng bài) sau mỗi comment → throw “Facebook báo giới hạn tần suất comment” → policy áp ngay: chiến dịch “tạm dừng”; không khóa hành động.
Bước comment lỗi không ghi Lịch sử hành động.
Cột error_element trong auto_error copy nguyên XPath của đăng bài và không được dùng.</t>
        </is>
      </c>
      <c r="L15" s="16" t="inlineStr">
        <is>
          <t>Đúng một phần</t>
        </is>
      </c>
      <c r="M15" s="15" t="inlineStr">
        <is>
          <t>Như STT 2: dừng 1 chiến dịch thay vì khóa hành động cấp tài khoản; không tự chạy lại.
Trong chiến dịch đăng group, giới hạn comment làm dừng luôn cả việc đăng bài.
Không có dòng lịch sử → khách không biết comment nào bị chặn.</t>
        </is>
      </c>
      <c r="N15" s="16" t="inlineStr">
        <is>
          <t>P1</t>
        </is>
      </c>
      <c r="O15" s="15" t="inlineStr">
        <is>
          <t>migrations/migration_v142_comment_frequency_limit_error.sql (throwIfCommentFrequencyLimited); campaignScheduler.ts:8761-8763, 10573-10576.</t>
        </is>
      </c>
    </row>
    <row r="16" ht="110" customHeight="1">
      <c r="A16" s="12" t="n">
        <v>9</v>
      </c>
      <c r="B16" s="13" t="inlineStr">
        <is>
          <t>Nhắn tin Messenger</t>
        </is>
      </c>
      <c r="C16" s="14" t="inlineStr">
        <is>
          <t>ĐỀ XUẤT: err_fb_cannot_message (+ tách err_limit_waiting_message, err_fb_message_blocked)
(hiện tại: không mã, status “thất bại”)</t>
        </is>
      </c>
      <c r="D16" s="15" t="inlineStr">
        <is>
          <t>Lỗi nhắn tin đến &lt;tên&gt;: waitForSelector timeout: [role="textbox"][contenteditable="true"]
→ Không mở được ô chat Messenger để gõ tin.</t>
        </is>
      </c>
      <c r="E16" s="15" t="inlineStr">
        <is>
          <t>Nhắn tin &amp; kết bạn UID (fb_message_stranger), Nhắn tin bạn bè (fb_message_friend).</t>
        </is>
      </c>
      <c r="F16" s="15" t="inlineStr">
        <is>
          <t>Người lạ: 1.477 “thất bại” (1.473 do không mở được ô chat) / 1.159 thành công → ≈56% thất bại (19/05→26/09/2026).
Bạn bè: 531 “thất bại” (519 do không mở được ô chat) / 3.129 thành công.</t>
        </is>
      </c>
      <c r="G16" s="15" t="inlineStr">
        <is>
          <t>Không mở được ô chat: người nhận chặn tin nhắn người lạ / cài đặt quyền riêng tư, tài khoản đích bị vô hiệu hoá hoặc UID sai, tài khoản gửi bị FB hạn chế nhắn tin hoặc chạm giới hạn tin nhắn chờ, hộp thoại mã hoá đầu cuối / khôi phục đoạn chat chưa xử lý hết, hoặc trang tải chậm.
Gồm cả nguyên nhân do người nhận (cấp target) và do tài khoản gửi (cấp tài khoản).</t>
        </is>
      </c>
      <c r="H16" s="15" t="inlineStr">
        <is>
          <t>Có banner hạn chế nhắn tin / giới hạn tin nhắn chờ → khóa hành động nhắn tin tương ứng có thời hạn + cảnh báo.
Nhiều người nhận liên tiếp (≥5–10) đều thất bại → nghi tài khoản bị hạn chế, tạm khóa fb_message_stranger 24h.</t>
        </is>
      </c>
      <c r="I16" s="15" t="inlineStr">
        <is>
          <t>Lỗi do người nhận: ghi “thất bại – người nhận không nhận tin”, chạy tiếp, không tính bộ đếm dừng.
Lỗi do tài khoản: chiến dịch “chờ xử lý” + giờ chạy lại.
Lỗi kỹ thuật (tải chậm): thử lại 1 lần rồi mới kết luận.</t>
        </is>
      </c>
      <c r="J16" s="15" t="inlineStr">
        <is>
          <t>Sửa block: không nuốt lỗi; đọc thông báo trên màn hình để phân loại (không thể nhắn / người dùng không khả dụng / giới hạn tin nhắn chờ / bị chặn).
Xác minh tin đã xuất hiện trong khung chat sau khi Enter.
Chỉ tính hạn mức khi thực sự đã gửi hoặc FB từ chối.</t>
        </is>
      </c>
      <c r="K16" s="15" t="inlineStr">
        <is>
          <t>fb_send_message chờ ô chat 15 giây; mọi lỗi bị catch → {ok:false, error}.
Scheduler ghi “thất bại” (không mã lỗi) với thông điệp XPath; “thất bại” được tính hạn mức giờ/ngày; bị coi là “thất bại cứng” → tăng bộ đếm → 4 lần liên tiếp thì “tạm dừng” chiến dịch.
“Thành công” chỉ có nghĩa là đã nhấn Enter + chờ 2 giây, không kiểm tra tin đã gửi.</t>
        </is>
      </c>
      <c r="L16" s="16" t="inlineStr">
        <is>
          <t>Chưa đúng</t>
        </is>
      </c>
      <c r="M16" s="15" t="inlineStr">
        <is>
          <t>Không phân biệt người nhận chặn (bình thường, nên bỏ qua) với tài khoản bị hạn chế (phải dừng) → hoặc dừng chiến dịch oan, hoặc tiếp tục nhắn khi tài khoản đã bị chặn.
Lỗi kỹ thuật bị ghi là “thất bại” nghiệp vụ và ăn hạn mức.
Lộ XPath ra log khách.
Tỷ lệ “thành công” có thể cao hơn thực tế vì không xác minh gửi.</t>
        </is>
      </c>
      <c r="N16" s="16" t="inlineStr">
        <is>
          <t>P1</t>
        </is>
      </c>
      <c r="O16" s="15" t="inlineStr">
        <is>
          <t>auto_blocks.fb_send_message (#38: catch (e) { return { ok:false } }); campaignScheduler.ts:10680-10722; campaignRepository.ts:249.</t>
        </is>
      </c>
    </row>
    <row r="17" ht="84" customHeight="1">
      <c r="A17" s="12" t="n">
        <v>10</v>
      </c>
      <c r="B17" s="13" t="inlineStr">
        <is>
          <t>Giới hạn / chặn từ Facebook</t>
        </is>
      </c>
      <c r="C17" s="14" t="inlineStr">
        <is>
          <t>err_limit_waiting_message
(đã có trong auto_error, id 5)</t>
        </is>
      </c>
      <c r="D17" s="15" t="inlineStr">
        <is>
          <t>Bạn đã đạt giới hạn về số tin nhắn đang chờ</t>
        </is>
      </c>
      <c r="E17" s="15" t="inlineStr">
        <is>
          <t>Nhắn tin người lạ (fb_message_stranger) – chiến dịch Nhắn tin &amp; Kết bạn UID.</t>
        </is>
      </c>
      <c r="F17" s="15" t="inlineStr">
        <is>
          <t>Chỉ 1 dòng (09/05/2026). Sau đó 0 lần dù có 1.477 lượt nhắn người lạ thất bại → mã lỗi không còn được sinh ra.</t>
        </is>
      </c>
      <c r="G17" s="15" t="inlineStr">
        <is>
          <t>Facebook giới hạn số tin nhắn gửi tới người lạ (nằm trong “Tin nhắn đang chờ” của họ) mà chưa được phản hồi.
Giới hạn cấp tài khoản cho hành động nhắn người lạ; gửi tiếp sẽ bị chặn / tăng nguy cơ khoá.</t>
        </is>
      </c>
      <c r="H17" s="15" t="inlineStr">
        <is>
          <t>Cảnh báo tài khoản chạm giới hạn tin nhắn chờ; giảm hạn mức fb_message_stranger vài ngày.</t>
        </is>
      </c>
      <c r="I17" s="15" t="inlineStr">
        <is>
          <t>Chiến dịch nhắn người lạ → “chờ xử lý” + note có giờ chạy lại; target đang gửi trả về “chờ xử lý”; phần kết bạn (nếu có) vẫn chạy tiếp.</t>
        </is>
      </c>
      <c r="J17" s="15" t="inlineStr">
        <is>
          <t>Khóa fb_message_stranger ít nhất tới hết ngày (60 phút như cấu hình hiện tại là quá ngắn so với bản chất “chờ người nhận phản hồi”), tăng dần nếu lặp lại.
Ghi “thất bại” + error_code.</t>
        </is>
      </c>
      <c r="K17" s="15" t="inlineStr">
        <is>
          <t>auto_error cấu hình: khóa fb_message_stranger 60 phút.
Nhưng block fb_send_message bắt mọi lỗi và trả ok:false (không throw, không đọc banner) → normalizeRuntimeError không bao giờ chạy → mã không được sinh, không có khóa nào được áp; lỗi thành “thất bại” với thông điệp waitForSelector.</t>
        </is>
      </c>
      <c r="L17" s="16" t="inlineStr">
        <is>
          <t>Chưa đúng</t>
        </is>
      </c>
      <c r="M17" s="15" t="inlineStr">
        <is>
          <t>Cấu hình “chết”: quy tắc khóa 60 phút không bao giờ kích hoạt.
Tài khoản chạm giới hạn vẫn tiếp tục nhắn → mỗi lượt thành “thất bại” và vẫn bị tính hạn mức.
Cột error_element (XPath banner) có khai báo nhưng code không dùng.</t>
        </is>
      </c>
      <c r="N17" s="16" t="inlineStr">
        <is>
          <t>P1</t>
        </is>
      </c>
      <c r="O17" s="15" t="inlineStr">
        <is>
          <t>auto_blocks #38; campaignScheduler.ts:8758-8760, 10687-10704; auto_error id 5.</t>
        </is>
      </c>
    </row>
    <row r="18" ht="84" customHeight="1">
      <c r="A18" s="12" t="n">
        <v>11</v>
      </c>
      <c r="B18" s="13" t="inlineStr">
        <is>
          <t>Kết bạn</t>
        </is>
      </c>
      <c r="C18" s="14" t="inlineStr">
        <is>
          <t>ĐỀ XUẤT: err_fb_add_friend_unavailable + trạng thái “đã là bạn bè”, “đã gửi lời mời”
(hiện tại: ghi “thành công”)</t>
        </is>
      </c>
      <c r="D18" s="15" t="inlineStr">
        <is>
          <t>Bỏ qua kết bạn với &lt;tên&gt; (đã là bạn bè hoặc nút bị ẩn) – nhưng lưu status “thành công”.</t>
        </is>
      </c>
      <c r="E18" s="15" t="inlineStr">
        <is>
          <t>Nhắn tin &amp; kết bạn UID, Nhắn tin bạn bè – fb_add_friend.</t>
        </is>
      </c>
      <c r="F18" s="15" t="inlineStr">
        <is>
          <t>Nằm trong 55.645 dòng “Kết bạn – thành công” của chiến dịch UID (chưa tách được số dòng “Bỏ qua”).
“thất bại” chỉ 8, “lỗi” 2 – thấp bất thường so với nhắn tin.</t>
        </is>
      </c>
      <c r="G18" s="15" t="inlineStr">
        <is>
          <t>Không thấy nút “Thêm bạn bè” có thể do: đã là bạn, đã gửi lời mời trước đó, người dùng tắt nhận lời mời, trang cá nhân không khả dụng — HOẶC tài khoản gửi bị FB chặn gửi lời mời kết bạn / checkpoint.
Hệ thống coi tất cả là “đã là bạn bè” → che mất tình trạng tài khoản bị chặn.</t>
        </is>
      </c>
      <c r="H18" s="15" t="inlineStr">
        <is>
          <t>Nhiều hồ sơ liên tiếp không có nút kết bạn hoặc có cảnh báo chặn → khóa fb_add_friend 24–72h + cảnh báo tài khoản.</t>
        </is>
      </c>
      <c r="I18" s="15" t="inlineStr">
        <is>
          <t>Tách trạng thái: “đã là bạn bè” / “đã gửi lời mời” (không tính hạn mức, không tính bộ đếm) và “không thể kết bạn” (thất bại cấp target). Chạy tiếp target khác.</t>
        </is>
      </c>
      <c r="J18" s="15" t="inlineStr">
        <is>
          <t>Đọc nhãn nút thực tế (Bạn bè / Hủy lời mời / Thêm bạn bè / không có nút); sau khi bấm phải xác minh nút đổi sang “Hủy lời mời”.
Chỉ tính hạn mức khi thực sự gửi lời mời.</t>
        </is>
      </c>
      <c r="K18" s="15" t="inlineStr">
        <is>
          <t>Block fb_add_friend: không thấy nút → trả ok:true, alreadyFriend:true.
Scheduler ghi Lịch sử hành động “thành công” + log “Bỏ qua kết bạn…” → bị tính vào hạn mức fb_add_friend và reset bộ đếm lỗi liên tiếp.</t>
        </is>
      </c>
      <c r="L18" s="16" t="inlineStr">
        <is>
          <t>Chưa đúng</t>
        </is>
      </c>
      <c r="M18" s="15" t="inlineStr">
        <is>
          <t>Báo cáo sai (thành công ảo), lãng phí hạn mức ngày/giờ.
Che mất việc tài khoản bị chặn kết bạn (bộ đếm lỗi bị reset liên tục nên chiến dịch không bao giờ dừng).</t>
        </is>
      </c>
      <c r="N18" s="16" t="inlineStr">
        <is>
          <t>P1</t>
        </is>
      </c>
      <c r="O18" s="15" t="inlineStr">
        <is>
          <t>auto_blocks.fb_add_friend (#39); campaignScheduler.ts:10725-10749, 3979-3981.</t>
        </is>
      </c>
    </row>
    <row r="19" ht="123" customHeight="1">
      <c r="A19" s="12" t="n">
        <v>12</v>
      </c>
      <c r="B19" s="13" t="inlineStr">
        <is>
          <t>Đăng bài – kết quả không xác nhận</t>
        </is>
      </c>
      <c r="C19" s="14" t="inlineStr">
        <is>
          <t>ĐỀ XUẤT: err_fb_post_not_confirmed (phân loại con: vi phạm nội dung / link bị chặn / thiếu trường bắt buộc / upload chậm)
(hiện tại: không mã, “thất bại”)</t>
        </is>
      </c>
      <c r="D19" s="15" t="inlineStr">
        <is>
          <t>Đăng bài thất bại vào &lt;group&gt;: Form đăng bài chưa đóng sau 60 giây (180 giây nếu có video)</t>
        </is>
      </c>
      <c r="E19" s="15" t="inlineStr">
        <is>
          <t>Đăng bài group (fb_post_group); Đăng bài trang cá nhân (fb_post_my_profile).</t>
        </is>
      </c>
      <c r="F19" s="15" t="inlineStr">
        <is>
          <t>Group: 2.410 dòng “thất bại” (20/05→28/09/2026).
Trang cá nhân: 16 lượt chạy lỗi + 14 chiến dịch bị đếm lỗi vì lỗi này (không có dòng lịch sử).</t>
        </is>
      </c>
      <c r="G19" s="15" t="inlineStr">
        <is>
          <t>Đã bấm Đăng nhưng form không đóng và không phải thông báo giới hạn tần suất. Thường do: FB từ chối nội dung (vi phạm tiêu chuẩn cộng đồng, link bị chặn, nội dung bị báo spam), group yêu cầu thêm thông tin (chủ đề/tag, giá/vị trí với group mua bán), ảnh/video tải lên chậm hoặc lỗi, hoặc bài thực tế đã lên nhưng giao diện không đóng.
Kết quả KHÔNG chắc chắn.</t>
        </is>
      </c>
      <c r="H19" s="15" t="inlineStr">
        <is>
          <t>Thông báo là vi phạm / cảnh báo tài khoản → cảnh báo khách, giảm hạn mức; không đổi login_status.</t>
        </is>
      </c>
      <c r="I19" s="15" t="inlineStr">
        <is>
          <t>Do nội dung (vi phạm / link bị chặn) → tạm dừng chiến dịch với note yêu cầu sửa nội dung (lỗi sẽ lặp ở mọi group).
Do group yêu cầu trường riêng → đánh dấu group “không hỗ trợ”, bỏ qua.
Không xác định → kiểm tra bài đã lên chưa (Nội dung của bạn / my_pending_content) trước khi kết luận; không tự đăng lại khi chưa chắc để tránh trùng bài.</t>
        </is>
      </c>
      <c r="J19" s="15" t="inlineStr">
        <is>
          <t>Sau timeout: đọc chữ lỗi trong form để phân loại; với video tăng timeout theo dung lượng.
Ghi “thất bại” + mã lỗi con; tính hạn mức (đã chạm FB).</t>
        </is>
      </c>
      <c r="K19" s="15" t="inlineStr">
        <is>
          <t>fb_verify_group_post_form_closed trả ok:false + message → Lịch sử hành động “thất bại” (không error_code); tính hạn mức; là “thất bại cứng” → tăng bộ đếm (4 lần → “tạm dừng”).
Input = “hoàn thành” và log chiến dịch lại in “✅ Hoàn thành &lt;group&gt;” ngay sau dòng thất bại.
Trang cá nhân: block fb_click_post_button throw cùng thông điệp nhưng KHÔNG ghi dòng lịch sử nào.</t>
        </is>
      </c>
      <c r="L19" s="16" t="inlineStr">
        <is>
          <t>Đúng một phần</t>
        </is>
      </c>
      <c r="M19" s="15" t="inlineStr">
        <is>
          <t>Status “thất bại” là hợp lý nhưng không biết lý do FB từ chối → không xử lý đúng (sửa nội dung hay bỏ group).
Không kiểm tra bài đã lên hay chưa → có thể báo thất bại oan hoặc đăng trùng.
Log mâu thuẫn (❌ rồi ✅ Hoàn thành) gây hiểu nhầm.
Đăng trang cá nhân thất bại không có dòng lịch sử.</t>
        </is>
      </c>
      <c r="N19" s="16" t="inlineStr">
        <is>
          <t>P1</t>
        </is>
      </c>
      <c r="O19" s="15" t="inlineStr">
        <is>
          <t>auto_blocks #2624, #30; campaignScheduler.ts:3908-3914, 10384-10512, 10516-10521.</t>
        </is>
      </c>
    </row>
    <row r="20" ht="110" customHeight="1">
      <c r="A20" s="12" t="n">
        <v>13</v>
      </c>
      <c r="B20" s="13" t="inlineStr">
        <is>
          <t>Đăng bài – form không mở</t>
        </is>
      </c>
      <c r="C20" s="14" t="inlineStr">
        <is>
          <t>ĐỀ XUẤT: err_fb_post_composer_not_open
(hiện tại: err_undefined)</t>
        </is>
      </c>
      <c r="D20" s="15" t="inlineStr">
        <is>
          <t>waitForSelector timeout: //*[@role='dialog']//*[@contenteditable='true'] | //form[@method='POST']//*[contains(@class,'notranslate')]
→ Đã bấm “Bạn viết gì đi…” nhưng form đăng bài không mở / không có ô nhập nội dung.</t>
        </is>
      </c>
      <c r="E20" s="15" t="inlineStr">
        <is>
          <t>Đăng bài group (fb_post_group), Đăng bài trang cá nhân (fb_post_my_profile).</t>
        </is>
      </c>
      <c r="F20" s="15" t="inlineStr">
        <is>
          <t>Group: 1.919 lượt lỗi · 679 chiến dịch · 330 tài khoản (21/05→28/09/2026).
Trang cá nhân: 81 lượt · 63 chiến dịch.
101 chiến dịch đăng group bị đếm lỗi liên tiếp vì lỗi này (tối đa 41 lần).</t>
        </is>
      </c>
      <c r="G20" s="15" t="inlineStr">
        <is>
          <t>Sau khi bấm mở form, Facebook hiển thị thứ khác thay vì form: hộp thoại đồng ý nội quy nhóm, chọn danh tính (cá nhân/Page), cảnh báo “Bạn tạm thời bị chặn…”, form bán hàng (group mua bán cần giá/vị trí), hoặc form mở chậm quá 5 + 15 giây / giao diện đổi.
Lỗi giao diện / trạng thái tài khoản, chưa chạm tới việc đăng.</t>
        </is>
      </c>
      <c r="H20" s="15" t="inlineStr">
        <is>
          <t>Hộp thoại là cảnh báo chặn tính năng / checkpoint → xử lý như STT 3, 4 (khóa hành động đăng bài có thời hạn, báo khách). Trường hợp khác không đổi trạng thái tài khoản.</t>
        </is>
      </c>
      <c r="I20" s="15" t="inlineStr">
        <is>
          <t>Không tiêu hao group: trả input về “chờ xử lý” để thử lại lượt sau (tối đa 2 lần), sau đó mới đánh dấu “thất bại – không mở được form đăng bài”.
Chỉ dừng chiến dịch khi lỗi xảy ra trên nhiều group liên tiếp (dấu hiệu UI đổi / tài khoản bị chặn), kèm note dễ hiểu.</t>
        </is>
      </c>
      <c r="J20" s="15" t="inlineStr">
        <is>
          <t>Nhận diện và xử lý hộp thoại chắn: tự đồng ý nội quy (đã có fb_click_group_post_prompt_if_present), chọn đúng danh tính, đóng popup; reload và thử mở form lại 1 lần.
Không tính hạn mức fb_post_group.</t>
        </is>
      </c>
      <c r="K20" s="15" t="inlineStr">
        <is>
          <t>Giống STT 1: fb_open_composer throw → lượt chạy failed, không có dòng Lịch sử hành động, input “hoàn thành” + note XPath, err_undefined → bộ đếm, ngưỡng 4 → “tạm dừng”.</t>
        </is>
      </c>
      <c r="L20" s="16" t="inlineStr">
        <is>
          <t>Chưa đúng</t>
        </is>
      </c>
      <c r="M20" s="15" t="inlineStr">
        <is>
          <t>Lỗi tạm thời / giao diện bị coi như target đã xử lý xong (không thử lại).
Không phân biệt cảnh báo chặn của FB với lỗi giao diện → tài khoản bị chặn vẫn tiếp tục chạy.
Khách không thấy dòng lịch sử; note hiển thị XPath.</t>
        </is>
      </c>
      <c r="N20" s="16" t="inlineStr">
        <is>
          <t>P1</t>
        </is>
      </c>
      <c r="O20" s="15" t="inlineStr">
        <is>
          <t>auto_elements.fb_composer_dialog; auto_blocks #27; campaignScheduler.ts:3921-3959.</t>
        </is>
      </c>
    </row>
    <row r="21" ht="136" customHeight="1">
      <c r="A21" s="12" t="n">
        <v>14</v>
      </c>
      <c r="B21" s="13" t="inlineStr">
        <is>
          <t>Hạ tầng / mạng / proxy</t>
        </is>
      </c>
      <c r="C21" s="14" t="inlineStr">
        <is>
          <t>ĐỀ XUẤT: err_network (tạm thời) · err_proxy · err_device_sleep
(hiện tại: err_undefined)</t>
        </is>
      </c>
      <c r="D21" s="15" t="inlineStr">
        <is>
          <t>ERR_NETWORK_IO_SUSPENDED (-331) · ERR_QUIC_PROTOCOL_ERROR (-356) · ERR_CONNECTION_RESET (-101) · ERR_FAILED (-2) · ERR_NETWORK_CHANGED (-21) · ERR_TIMED_OUT (-7) · ERR_CONNECTION_TIMED_OUT (-118) · ERR_TUNNEL_CONNECTION_FAILED (-111) · ERR_CONNECTION_CLOSED (-100) · ERR_HTTP2_PING_FAILED (-352) · ERR_NAME_NOT_RESOLVED (-105) · ERR_CERT_AUTHORITY_INVALID (-202) · ERR_TOO_MANY_REDIRECTS (-310) … loading 'https://www.facebook.com/…'</t>
        </is>
      </c>
      <c r="E21" s="15" t="inlineStr">
        <is>
          <t>Tất cả chiến dịch FB (nặng nhất: Đăng group 683 lượt · 283 chiến dịch · 148 tài khoản).</t>
        </is>
      </c>
      <c r="F21" s="15" t="inlineStr">
        <is>
          <t>≈1.100 lượt chạy lỗi mạng (05→09/2026): IO_SUSPENDED 363, CONNECTION_RESET 216, QUIC 195, FAILED 99, TIMED_OUT + CONNECTION_TIMED_OUT 73, NETWORK_CHANGED 54, CONNECTION_CLOSED 27, TUNNEL (proxy) 23, HTTP2_PING 19, NAME_NOT_RESOLVED 11, CERT 5, TOO_MANY_REDIRECTS 2.</t>
        </is>
      </c>
      <c r="G21" s="15" t="inlineStr">
        <is>
          <t>Lỗi đường truyền / thiết bị: máy tính ngủ hoặc mất mạng (IO_SUSPENDED, NETWORK_CHANGED), proxy chết (TUNNEL_CONNECTION_FAILED), mạng chập chờn / nhà mạng chặn QUIC, chứng chỉ sai do proxy / giờ máy.
Không liên quan FB và không liên quan target. TOO_MANY_REDIRECTS có thể là dấu hiệu phiên đăng nhập hỏng.</t>
        </is>
      </c>
      <c r="H21" s="15" t="inlineStr">
        <is>
          <t>Proxy lỗi lặp lại → đánh dấu proxy lỗi, tạm dừng tài khoản, báo khách đổi proxy.
IO_SUSPENDED → tạm dừng runtime, tự chạy lại khi máy thức.
TOO_MANY_REDIRECTS → kiểm tra lại đăng nhập.</t>
        </is>
      </c>
      <c r="I21" s="15" t="inlineStr">
        <is>
          <t>Không tiêu hao target: trả về “chờ xử lý”; thử lại với backoff (1 → 5 → 15 phút); không tính bộ đếm dừng chiến dịch; chỉ báo khách khi mất mạng kéo dài.</t>
        </is>
      </c>
      <c r="J21" s="15" t="inlineStr">
        <is>
          <t>Không tính hạn mức, không khóa hành động.</t>
        </is>
      </c>
      <c r="K21" s="15" t="inlineStr">
        <is>
          <t>Lượt chạy failed → input “hoàn thành” + note ERR_* (target bị bỏ luôn) → err_undefined → bộ đếm → 4 lần liên tiếp thì “tạm dừng” chiến dịch. Lỗi proxy có lúc ghi thẳng vào note chiến dịch.</t>
        </is>
      </c>
      <c r="L21" s="16" t="inlineStr">
        <is>
          <t>Chưa đúng</t>
        </is>
      </c>
      <c r="M21" s="15" t="inlineStr">
        <is>
          <t>Lỗi tạm thời bị coi như target đã xử lý → mất target; chiến dịch bị dừng vì mạng của khách; không có retry; thông điệp kỹ thuật lộ ra khách.</t>
        </is>
      </c>
      <c r="N21" s="16" t="inlineStr">
        <is>
          <t>P1</t>
        </is>
      </c>
      <c r="O21" s="15" t="inlineStr">
        <is>
          <t>auto_runs.error (mã Chromium net::ERR_*); campaignScheduler.ts:3921-3959.</t>
        </is>
      </c>
    </row>
    <row r="22" ht="84" customHeight="1">
      <c r="A22" s="12" t="n">
        <v>15</v>
      </c>
      <c r="B22" s="13" t="inlineStr">
        <is>
          <t>Hệ thống / cấu hình workflow</t>
        </is>
      </c>
      <c r="C22" s="14" t="inlineStr">
        <is>
          <t>ĐỀ XUẤT: err_system_block_missing
(hiện tại: err_undefined)</t>
        </is>
      </c>
      <c r="D22" s="15" t="inlineStr">
        <is>
          <t>Block không tìm thấy: blockId=&lt;id&gt; blockName="&lt;tên block&gt;" (fb_open_composer, fb_resolve_url, nav_to_url, wait_for_selector, fb_verify_group_post_form_closed, …)</t>
        </is>
      </c>
      <c r="E22" s="15" t="inlineStr">
        <is>
          <t>Đăng group 301 lượt · 208 chiến dịch · 142 tài khoản; Comment seeding 28; Tìm data 11+; Nhắn UID 5; Comment bài post 7…</t>
        </is>
      </c>
      <c r="F22" s="15" t="inlineStr">
        <is>
          <t>≈360 lượt chạy lỗi (04/06→28/09/2026).</t>
        </is>
      </c>
      <c r="G22" s="15" t="inlineStr">
        <is>
          <t>Workflow tham chiếu một block mà runtime không tải được lúc chạy (lỗi tải cache block/elements từ server, block vừa cập nhật/đổi id, mất kết nối Supabase).
Lỗi của hệ thống phần mềm, không liên quan FB hay khách hàng.</t>
        </is>
      </c>
      <c r="H22" s="15" t="inlineStr">
        <is>
          <t>Không tác động tài khoản.</t>
        </is>
      </c>
      <c r="I22" s="15" t="inlineStr">
        <is>
          <t>Không tiêu hao target, không tính bộ đếm; tự thử lại sau vài phút (tải lại cache block); vẫn lỗi → “chờ xử lý” + note “Hệ thống đang cập nhật, sẽ tự chạy lại” và cảnh báo admin.</t>
        </is>
      </c>
      <c r="J22" s="15" t="inlineStr">
        <is>
          <t>Không tính hạn mức.</t>
        </is>
      </c>
      <c r="K22" s="15" t="inlineStr">
        <is>
          <t>Lượt chạy failed → err_undefined → input “hoàn thành” + note → bộ đếm → có thể “tạm dừng” chiến dịch (có chiến dịch dừng với note “Dừng sau … : Block không tìm thấy …”).</t>
        </is>
      </c>
      <c r="L22" s="16" t="inlineStr">
        <is>
          <t>Chưa đúng</t>
        </is>
      </c>
      <c r="M22" s="15" t="inlineStr">
        <is>
          <t>Lỗi hệ thống bị quy cho chiến dịch của khách, làm mất target và dừng chiến dịch; không có cảnh báo cho admin.</t>
        </is>
      </c>
      <c r="N22" s="16" t="inlineStr">
        <is>
          <t>P1</t>
        </is>
      </c>
      <c r="O22" s="15" t="inlineStr">
        <is>
          <t>auto_runs.error; auto_campaigns.note; campaignScheduler.ts:3921-3959.</t>
        </is>
      </c>
    </row>
    <row r="23" ht="123" customHeight="1">
      <c r="A23" s="12" t="n">
        <v>16</v>
      </c>
      <c r="B23" s="13" t="inlineStr">
        <is>
          <t>Mã chung (dự phòng)</t>
        </is>
      </c>
      <c r="C23" s="14" t="inlineStr">
        <is>
          <t>err_undefined
(đã có trong auto_error, id 4 – ngưỡng 4 lỗi liên tiếp → “tạm dừng”)</t>
        </is>
      </c>
      <c r="D23" s="15" t="inlineStr">
        <is>
          <t>Có lỗi xảy ra · Dừng sau N data lỗi/thất bại liên tiếp (ngưỡng 4): &lt;lý do / chẩn đoán AI&gt;</t>
        </is>
      </c>
      <c r="E23" s="15" t="inlineStr">
        <is>
          <t>Mọi chiến dịch Facebook – là mã dự phòng cho mọi lỗi không khớp 3 cụm chữ Facebook đã biết.</t>
        </is>
      </c>
      <c r="F23" s="15" t="inlineStr">
        <is>
          <t>83 chiến dịch FB đang “tạm dừng” với note “Có lỗi xảy ra” (58 đăng group, 17 comment bài post, 7 nhắn UID, 1 inbox).
770 chiến dịch FB có lý do đếm lỗi gần nhất là “Có lỗi xảy ra” (auto_campaign_error_state).
Hơn 90% lượt chạy lỗi của Facebook rơi vào mã này (xem sheet 3).</t>
        </is>
      </c>
      <c r="G23" s="15" t="inlineStr">
        <is>
          <t>Không phải một lỗi cụ thể mà là “thùng chứa” mọi lỗi chưa được phân loại.
Ngưỡng được sửa từ 5 xuống 4 ngày 25/09/2026.</t>
        </is>
      </c>
      <c r="H23" s="15" t="inlineStr">
        <is>
          <t>Không tác động tài khoản khi chưa rõ nguyên nhân; nếu nhiều chiến dịch của cùng tài khoản cùng lỗi → nghi vấn tài khoản (checkpoint/chặn) → kiểm tra phiên.</t>
        </is>
      </c>
      <c r="I23" s="15" t="inlineStr">
        <is>
          <t>Giữ cơ chế ngưỡng nhưng: tách bộ đếm theo loại lỗi, reset khi khách bật lại chiến dịch, chỉ đếm lỗi có khả năng lặp (không đếm lỗi thuộc từng target); note hiển thị lý do dễ hiểu + hướng xử lý.</t>
        </is>
      </c>
      <c r="J23" s="15" t="inlineStr">
        <is>
          <t>Không khóa hành động; ưu tiên thu hẹp err_undefined bằng các mã riêng trong danh sách này.</t>
        </is>
      </c>
      <c r="K23" s="15" t="inlineStr">
        <is>
          <t>normalizeRuntimeError trả err_undefined cho mọi lỗi không chứa 3 cụm chữ FB; handleCampaignBadTarget tăng count_consecutive_bad_targets (không phân biệt mã lỗi), reset khi có target thành công; tới ngưỡng 4 → AI chẩn đoán ảnh chụp → “tạm dừng” + note; không tự chạy lại.
Nếu thiếu dòng err_undefined → “chờ xử lý”.</t>
        </is>
      </c>
      <c r="L23" s="16" t="inlineStr">
        <is>
          <t>Đúng một phần</t>
        </is>
      </c>
      <c r="M23" s="15" t="inlineStr">
        <is>
          <t>Cơ chế an toàn (dừng khi lỗi liên tục) là cần thiết, nhưng vì gần như mọi lỗi FB đều rơi vào đây nên khách chỉ thấy “Có lỗi xảy ra” và phải bật lại thủ công.
Bộ đếm dùng chung mọi loại lỗi, không reset khi bật lại → bật lại gặp 1 lỗi là dừng tiếp.
Lỗi hệ thống / mạng cũng làm dừng chiến dịch của khách.</t>
        </is>
      </c>
      <c r="N23" s="16" t="inlineStr">
        <is>
          <t>P1</t>
        </is>
      </c>
      <c r="O23" s="15" t="inlineStr">
        <is>
          <t>campaignScheduler.ts:8725-8769, 9031-9131; auto_error id 4 (cập nhật 25/09/2026).</t>
        </is>
      </c>
    </row>
    <row r="24" ht="97" customHeight="1">
      <c r="A24" s="12" t="n">
        <v>17</v>
      </c>
      <c r="B24" s="13" t="inlineStr">
        <is>
          <t>Giới hạn nội bộ (không phải lỗi FB)</t>
        </is>
      </c>
      <c r="C24" s="14" t="inlineStr">
        <is>
          <t>error_limit_in_hour · error_limit_in_day
(đã có trong auto_error, id 3 và 2)</t>
        </is>
      </c>
      <c r="D24" s="15" t="inlineStr">
        <is>
          <t>Đạt giới hạn trong giờ là [x] tạm nghỉ [t] phút · Đạt giới hạn trong ngày là [x]</t>
        </is>
      </c>
      <c r="E24" s="15" t="inlineStr">
        <is>
          <t>Mọi hành động có hạn mức: fb_post_group, fb_comment, fb_message_*, fb_add_friend, fb_join_group, fb_group_invite, fb_post_page…</t>
        </is>
      </c>
      <c r="F24" s="15" t="inlineStr">
        <is>
          <t>Không lưu thành dòng lịch sử; hiển thị ở note chiến dịch.
Mặc định mỗi hành động: 30 lượt/ngày, 9 lượt/65 phút (cấu hình được theo chiến dịch / nhóm tài khoản).</t>
        </is>
      </c>
      <c r="G24" s="15" t="inlineStr">
        <is>
          <t>Cơ chế chủ động của phần mềm để tài khoản không vượt ngưỡng an toàn của FB. Không phải lỗi – là trạng thái chờ.</t>
        </is>
      </c>
      <c r="H24" s="15" t="inlineStr">
        <is>
          <t>Không đổi trạng thái tài khoản.</t>
        </is>
      </c>
      <c r="I24" s="15" t="inlineStr">
        <is>
          <t>Giữ “chờ xử lý” + note “Tạm nghỉ đến HH:mm” (tính từ retryAfterMs); lên lịch lại đúng thời điểm thay vì kiểm tra mỗi 30 giây.
Hành động tuỳ chọn chạm hạn mức thì bỏ qua, hành động chính vẫn chạy.</t>
        </is>
      </c>
      <c r="J24" s="15" t="inlineStr">
        <is>
          <t>Chỉ đếm các lượt thực sự chạm FB (thành công hoặc FB từ chối); không đếm lỗi kỹ thuật, lượt “Bỏ qua kết bạn”, lượt bị huỷ.</t>
        </is>
      </c>
      <c r="K24" s="15" t="inlineStr">
        <is>
          <t>Kiểm tra trước khi nhận chiến dịch và trước mỗi target. Đếm dòng “thành công”/“thất bại” (hoặc counts_toward_limit = true) trong 65 phút và count_action_in_day.
Chạm → chiến dịch “chờ xử lý” + note; retryAfterMs chỉ dùng để điền [t], không đổi lịch; note dùng noti_campaign nên không hiện thời gian nghỉ.</t>
        </is>
      </c>
      <c r="L24" s="16" t="inlineStr">
        <is>
          <t>Đúng một phần</t>
        </is>
      </c>
      <c r="M24" s="15" t="inlineStr">
        <is>
          <t>Bản chất đúng (chờ và tự chạy lại).
Nhưng: lỗi kỹ thuật ghi “thất bại” (ô chat / ô bình luận không thấy, Form chưa đóng) và thành công ảo “Bỏ qua kết bạn” đều bị đếm → hết hạn mức sớm; “lỗi” của tham gia group cũng bị đếm (counts_toward_limit = true); khách không biết khi nào chạy lại.
CLAUDE.md mô tả “reschedule” nhưng code không làm.</t>
        </is>
      </c>
      <c r="N24" s="16" t="inlineStr">
        <is>
          <t>P1</t>
        </is>
      </c>
      <c r="O24" s="15" t="inlineStr">
        <is>
          <t>campaignRepository.ts:249, 865-941, 6207-6306; campaignScheduler.ts:8613-8638, 10211-10231.</t>
        </is>
      </c>
    </row>
    <row r="25" ht="97" customHeight="1">
      <c r="A25" s="12" t="n">
        <v>18</v>
      </c>
      <c r="B25" s="13" t="inlineStr">
        <is>
          <t>Nhắn tin inbox page</t>
        </is>
      </c>
      <c r="C25" s="14" t="inlineStr">
        <is>
          <t>ĐỀ XUẤT: err_fb_page_inbox_customer_not_found / err_fb_page_inbox_wrong_conversation
(hiện tại: status “không tồn tại”, không mã)</t>
        </is>
      </c>
      <c r="D25" s="15" t="inlineStr">
        <is>
          <t>Không tìm thấy khách inbox page &lt;tên&gt;: Không tìm thấy khách hàng trong inbox page / Không tìm thấy đúng khách hàng trong inbox page</t>
        </is>
      </c>
      <c r="E25" s="15" t="inlineStr">
        <is>
          <t>facebook_page_to_message.</t>
        </is>
      </c>
      <c r="F25" s="15" t="inlineStr">
        <is>
          <t>20.814 dòng “không tồn tại” (14/07→28/09/2026) ≈ 13,6% tổng lượt gửi: không thấy 16.014, sai hội thoại 4.800; ≈2.359 khách tên “Người dùng Facebook” (tài khoản đã khoá/xoá).
Trước 14/07: 616 dòng ghi “thất bại”.</t>
        </is>
      </c>
      <c r="G25" s="15" t="inlineStr">
        <is>
          <t>Tìm khách theo TÊN trong hộp thư Business: không thấy vì khách đổi tên, tài khoản khách đã bị vô hiệu hoá (“Người dùng Facebook”), hội thoại bị xoá/lưu trữ/spam; hoặc nhiều khách trùng tên nên mở nhầm hội thoại.
Vấn đề dữ liệu / cách tìm kiếm, không phải lỗi tài khoản.</t>
        </is>
      </c>
      <c r="H25" s="15" t="inlineStr">
        <is>
          <t>Không tác động tài khoản.</t>
        </is>
      </c>
      <c r="I25" s="15" t="inlineStr">
        <is>
          <t>Giữ “không tồn tại” (không tính hạn mức, không tính bộ đếm) cho khách thật sự không còn; tách “trùng tên – cần kiểm tra” cho sai hội thoại; chạy tiếp.</t>
        </is>
      </c>
      <c r="J25" s="15" t="inlineStr">
        <is>
          <t>Mở hội thoại trực tiếp theo PSID / ID cuộc trò chuyện (đã có customerPsid) thay vì tìm theo tên; loại khách “Người dùng Facebook” ngay từ bước quét data.</t>
        </is>
      </c>
      <c r="K25" s="15" t="inlineStr">
        <is>
          <t>Block trả reason not_found / wrong_conversation → status “không tồn tại”, counts_toward_limit = false, không tăng/không reset bộ đếm.</t>
        </is>
      </c>
      <c r="L25" s="16" t="inlineStr">
        <is>
          <t>Đúng một phần</t>
        </is>
      </c>
      <c r="M25" s="15" t="inlineStr">
        <is>
          <t>Cách ghi nhận đúng (không tính hạn mức), nhưng gốc rễ là tìm theo tên → 13,6% lượt gửi bị hụt; “trùng tên” bị gộp với “không tồn tại” nên khách không biết khách hàng vẫn tồn tại.</t>
        </is>
      </c>
      <c r="N25" s="16" t="inlineStr">
        <is>
          <t>P2</t>
        </is>
      </c>
      <c r="O25" s="15" t="inlineStr">
        <is>
          <t>auto_blocks #2679 (clickExactSearchResult); campaignScheduler.ts:10684-10716.</t>
        </is>
      </c>
    </row>
    <row r="26" ht="84" customHeight="1">
      <c r="A26" s="12" t="n">
        <v>19</v>
      </c>
      <c r="B26" s="13" t="inlineStr">
        <is>
          <t>Nhắn tin inbox page</t>
        </is>
      </c>
      <c r="C26" s="14" t="inlineStr">
        <is>
          <t>ĐỀ XUẤT: err_fb_page_inbox_ui
(hiện tại: err_undefined)</t>
        </is>
      </c>
      <c r="D26" s="15" t="inlineStr">
        <is>
          <t>Lỗi khi nhập tên vào ô tìm kiếm (… không thể khôi phục ô tìm kiếm trống) · Không thể xoá tìm kiếm trong inbox page trước khi gửi tin nhắn · Không đọc được tên khách trong inbox page để xác minh người nhận · Không tìm thấy nút gửi tin nhắn · Script failed to execute…</t>
        </is>
      </c>
      <c r="E26" s="15" t="inlineStr">
        <is>
          <t>facebook_page_to_message.</t>
        </is>
      </c>
      <c r="F26" s="15" t="inlineStr">
        <is>
          <t>≈1.200 dòng “lỗi”: nhập tên tìm kiếm 1.014 (03/06→08/09) + 21, xoá tìm kiếm 60, không đọc được tên 96, nút gửi 4, script 6.
Có chiến dịch lỗi 52 lần liên tiếp.</t>
        </is>
      </c>
      <c r="G26" s="15" t="inlineStr">
        <is>
          <t>Lỗi tự động hoá giao diện Business Suite (ô tìm kiếm / khung hội thoại đổi cấu trúc, tải chậm, iframe).
Lỗi kỹ thuật phía phần mềm, không phải FB từ chối.</t>
        </is>
      </c>
      <c r="H26" s="15" t="inlineStr">
        <is>
          <t>Không tác động tài khoản.</t>
        </is>
      </c>
      <c r="I26" s="15" t="inlineStr">
        <is>
          <t>Không tiêu hao khách: trả về “chờ xử lý” để thử lại sau; lỗi lặp trên nhiều khách → “chờ xử lý” + note “Giao diện hộp thư thay đổi, đang chờ cập nhật” và báo admin (không bắt khách tự xử lý).</t>
        </is>
      </c>
      <c r="J26" s="15" t="inlineStr">
        <is>
          <t>Reload hộp thư và thử lại 1 lần; chuyển sang mở hội thoại theo PSID để bỏ bước tìm kiếm; không tính hạn mức.</t>
        </is>
      </c>
      <c r="K26" s="15" t="inlineStr">
        <is>
          <t>Throw → “lỗi” + err_undefined; input “hoàn thành” (khách bị bỏ); bộ đếm → 4/8 lần → dừng chiến dịch; có 1 lần reload khi tìm kiếm.</t>
        </is>
      </c>
      <c r="L26" s="16" t="inlineStr">
        <is>
          <t>Đúng một phần</t>
        </is>
      </c>
      <c r="M26" s="15" t="inlineStr">
        <is>
          <t>Ghi “lỗi” và không tính hạn mức là đúng; nhưng khách bị đánh dấu xong nên không bao giờ được gửi lại, và chiến dịch bị dừng như lỗi của khách hàng.</t>
        </is>
      </c>
      <c r="N26" s="16" t="inlineStr">
        <is>
          <t>P2</t>
        </is>
      </c>
      <c r="O26" s="15" t="inlineStr">
        <is>
          <t>auto_blocks #2679; campaignScheduler.ts:9076-9118.</t>
        </is>
      </c>
    </row>
    <row r="27" ht="110" customHeight="1">
      <c r="A27" s="12" t="n">
        <v>20</v>
      </c>
      <c r="B27" s="13" t="inlineStr">
        <is>
          <t>Tài khoản / quyền Page (Business)</t>
        </is>
      </c>
      <c r="C27" s="14" t="inlineStr">
        <is>
          <t>ĐỀ XUẤT: err_fb_page_token_invalid
(hiện tại: “lỗi” không mã / “thất bại”)</t>
        </is>
      </c>
      <c r="D27" s="15" t="inlineStr">
        <is>
          <t>Không tìm thấy user access token. Hãy mở lại tab Business/Facebook rồi thử chạy chiến dịch. · Facebook Graph API lỗi: Malformed access token / Tried accessing nonexisting field (access_token) / Object with ID … does not exist, cannot be loaded due to missing permissions · Graph API không trả page access_token</t>
        </is>
      </c>
      <c r="E27" s="15" t="inlineStr">
        <is>
          <t>Đăng bài fanpage (fb_post_page), Quét page quản lý; liên quan Nhắn tin inbox page.</t>
        </is>
      </c>
      <c r="F27" s="15" t="inlineStr">
        <is>
          <t>Lịch sử chạy: Quét page quản lý 110 + 15 lượt (14–25/09); Đăng fanpage 11 lượt.
Lịch sử hành động fanpage: ~9 “lỗi” token + ~12 “thất bại” Graph API (08–09/2026).
auto_account_logs 21–25/09: 39 lỗi token (10 tài khoản).</t>
        </is>
      </c>
      <c r="G27" s="15" t="inlineStr">
        <is>
          <t>Phần mềm không lấy được token của tài khoản/Page (chưa mở tab Business, phiên Business hết hạn, tài khoản không còn quyền quản trị Page, token sai định dạng).
Lỗi cấp tài khoản / quyền – mọi target của chiến dịch sẽ lỗi giống nhau.</t>
        </is>
      </c>
      <c r="H27" s="15" t="inlineStr">
        <is>
          <t>Đánh dấu “thiếu quyền / token Page” trên tài khoản, hướng dẫn mở lại tab Business và cấp quyền quản lý Page; tự lấy lại token khi tab Business mở lại.</t>
        </is>
      </c>
      <c r="I27" s="15" t="inlineStr">
        <is>
          <t>Dừng ngay (không “đốt” hết danh sách) → “chờ xử lý” + note hướng dẫn; tự chạy lại khi token hợp lệ; target không bị tiêu hao.</t>
        </is>
      </c>
      <c r="J27" s="15" t="inlineStr">
        <is>
          <t>Tạm khóa fb_post_page / fb_message_page_inbox_customer tới khi token hợp lệ; không tính hạn mức.</t>
        </is>
      </c>
      <c r="K27" s="15" t="inlineStr">
        <is>
          <t>Đăng fanpage: lỗi token → “lỗi” (không có error_code, khác các hành động khác) → bộ đếm err_undefined; lỗi Graph API → “thất bại” (tính hạn mức).
Quét page: lượt chạy failed, ghi runtime_error vào auto_account_logs.</t>
        </is>
      </c>
      <c r="L27" s="16" t="inlineStr">
        <is>
          <t>Chưa đúng</t>
        </is>
      </c>
      <c r="M27" s="15" t="inlineStr">
        <is>
          <t>Lỗi cấu hình / quyền bị xử lý như lỗi từng target → chạy thử từng target rồi mới dừng; ghi “thất bại” ăn hạn mức; thông điệp Graph API tiếng Anh kỹ thuật lộ ra khách.</t>
        </is>
      </c>
      <c r="N27" s="16" t="inlineStr">
        <is>
          <t>P2</t>
        </is>
      </c>
      <c r="O27" s="15" t="inlineStr">
        <is>
          <t>auto_blocks.fb_page_post_api (#2669); campaignScheduler.ts:10296-10328.</t>
        </is>
      </c>
    </row>
    <row r="28" ht="97" customHeight="1">
      <c r="A28" s="12" t="n">
        <v>21</v>
      </c>
      <c r="B28" s="13" t="inlineStr">
        <is>
          <t>Đăng bài trang cá nhân / chia sẻ</t>
        </is>
      </c>
      <c r="C28" s="14" t="inlineStr">
        <is>
          <t>ĐỀ XUẤT: err_fb_post_button_not_found (+ dùng chung các mã đăng bài)
(hiện tại: err_undefined, không có dòng lịch sử)</t>
        </is>
      </c>
      <c r="D28" s="15" t="inlineStr">
        <is>
          <t>waitForSelector timeout: //*[@role='dialog']//*[(@aria-label='Đăng' or @aria-label='Post') and @role='button'] … · Không tìm thấy container bài đăng nguồn · waitForSelector timeout: //*[@role="button" and contains(.,"Chia sẻ ngay")]</t>
        </is>
      </c>
      <c r="E28" s="15" t="inlineStr">
        <is>
          <t>Đăng bài trang cá nhân / chia sẻ bài / reels (fb_post_my_profile).</t>
        </is>
      </c>
      <c r="F28" s="15" t="inlineStr">
        <is>
          <t>Nút Đăng: 244 lượt · 223 chiến dịch · 55 tài khoản; bài nguồn không thấy: 22; nút “Chia sẻ ngay”: 19 (cùng ngày 24/07).
Lịch sử hành động trang cá nhân gần như chỉ có dòng thành công (5.129) – thất bại không được ghi.</t>
        </is>
      </c>
      <c r="G28" s="15" t="inlineStr">
        <is>
          <t>Nút Đăng bị vô hiệu (nội dung trống / đang tải ảnh) hoặc giao diện đổi; bài nguồn để chia sẻ đã bị xoá / không công khai.
Lỗi nằm ở target / giao diện.</t>
        </is>
      </c>
      <c r="H28" s="15" t="inlineStr">
        <is>
          <t>Không tác động (trừ khi có cảnh báo chặn → STT 4).</t>
        </is>
      </c>
      <c r="I28" s="15" t="inlineStr">
        <is>
          <t>Ghi dòng lịch sử “thất bại” cho mọi lần đăng không thành; bài nguồn không khả dụng → bỏ qua target (không tính bộ đếm).</t>
        </is>
      </c>
      <c r="J28" s="15" t="inlineStr">
        <is>
          <t>Chờ nút Đăng hết vô hiệu sau khi tải media; kiểm tra bài nguồn trước khi chia sẻ.</t>
        </is>
      </c>
      <c r="K28" s="15" t="inlineStr">
        <is>
          <t>Lượt chạy failed → err_undefined → bộ đếm; logMilestonesV2 chỉ ghi dòng cho bước đăng THÀNH CÔNG của trang cá nhân → khách không thấy các lần thất bại.</t>
        </is>
      </c>
      <c r="L28" s="16" t="inlineStr">
        <is>
          <t>Chưa đúng</t>
        </is>
      </c>
      <c r="M28" s="15" t="inlineStr">
        <is>
          <t>Thiếu dòng lịch sử cho thất bại (trái quy ước ghi theo từng mốc); lỗi của target bị tính vào bộ đếm dừng chiến dịch.</t>
        </is>
      </c>
      <c r="N28" s="16" t="inlineStr">
        <is>
          <t>P2</t>
        </is>
      </c>
      <c r="O28" s="15" t="inlineStr">
        <is>
          <t>auto_workflows id 2; campaignScheduler.ts:10516-10521.</t>
        </is>
      </c>
    </row>
    <row r="29" ht="97" customHeight="1">
      <c r="A29" s="12" t="n">
        <v>22</v>
      </c>
      <c r="B29" s="13" t="inlineStr">
        <is>
          <t>Media / nội dung</t>
        </is>
      </c>
      <c r="C29" s="14" t="inlineStr">
        <is>
          <t>ĐỀ XUẤT: err_media_unavailable · err_fb_upload_form_changed · err_fb_content_format
(hiện tại: “tạm dừng” với note kỹ thuật / err_undefined / “thất bại”)</t>
        </is>
      </c>
      <c r="D29" s="15" t="inlineStr">
        <is>
          <t>Không dùng được media “&lt;file&gt;”: local path không tồn tại và không có cloud URL fallback / cloud URL không tải được · Cần đúng 1 input file trong form đăng bài, tìm thấy 0 · Cần đúng 1 form đăng bài, tìm thấy 0 · waitForSelector timeout: input[type="file"] · Upload ảnh quá lâu · Facebook không nhận nội dung HTML đã paste</t>
        </is>
      </c>
      <c r="E29" s="15" t="inlineStr">
        <is>
          <t>Đăng group, đăng trang cá nhân / reels, nhắn tin inbox có ảnh.</t>
        </is>
      </c>
      <c r="F29" s="15" t="inlineStr">
        <is>
          <t>Input file: 148 lượt trong 1 ngày 21/09 (25 chiến dịch, 13 tài khoản) + 13; dán HTML: 34 lượt; “Upload ảnh quá lâu”: 23 “thất bại”; 7 chiến dịch “tạm dừng” vì thiếu file media; videoPath rỗng: 19.</t>
        </is>
      </c>
      <c r="G29" s="15" t="inlineStr">
        <is>
          <t>(a) File ảnh/video của chiến dịch không còn trên máy và không có bản cloud → lỗi dữ liệu chiến dịch.
(b) FB đổi giao diện form upload (sự cố hàng loạt 21/09) → lỗi phần mềm.
(c) Upload chậm do mạng / file lớn.
(d) FB không nhận nội dung định dạng HTML → cần dự phòng văn bản thường.</t>
        </is>
      </c>
      <c r="H29" s="15" t="inlineStr">
        <is>
          <t>Không tác động tài khoản.</t>
        </is>
      </c>
      <c r="I29" s="15" t="inlineStr">
        <is>
          <t>(a) “tạm dừng” + note rõ file nào thiếu (đang làm, đúng).
(b) Không tiêu hao target, không tính bộ đếm; cảnh báo admin, tự chạy lại khi có bản vá.
(c) Thử lại với timeout dài hơn.
(d) Tự động dán dạng văn bản thường.</t>
        </is>
      </c>
      <c r="J29" s="15" t="inlineStr">
        <is>
          <t>Không tính hạn mức khi chưa bấm Đăng.</t>
        </is>
      </c>
      <c r="K29" s="15" t="inlineStr">
        <is>
          <t>(a) Chiến dịch “tạm dừng” + note có tên file (hợp lý).
(b)(d) Throw → err_undefined → target “hoàn thành” → bộ đếm.
(c) “thất bại” (tính hạn mức).</t>
        </is>
      </c>
      <c r="L29" s="16" t="inlineStr">
        <is>
          <t>Đúng một phần</t>
        </is>
      </c>
      <c r="M29" s="15" t="inlineStr">
        <is>
          <t>Lỗi do FB đổi giao diện (hàng loạt trong 1 ngày) làm tiêu hao target và dừng chiến dịch của nhiều khách; không có cơ chế cảnh báo sự cố diện rộng.</t>
        </is>
      </c>
      <c r="N29" s="16" t="inlineStr">
        <is>
          <t>P2</t>
        </is>
      </c>
      <c r="O29" s="15" t="inlineStr">
        <is>
          <t>auto_blocks.fb_drop_post_images (#29); auto_campaigns.note.</t>
        </is>
      </c>
    </row>
    <row r="30" ht="71" customHeight="1">
      <c r="A30" s="12" t="n">
        <v>23</v>
      </c>
      <c r="B30" s="13" t="inlineStr">
        <is>
          <t>Kết quả kiểm duyệt của FB</t>
        </is>
      </c>
      <c r="C30" s="14" t="inlineStr">
        <is>
          <t>(không phải lỗi – trạng thái “thành công (chờ duyệt)”)</t>
        </is>
      </c>
      <c r="D30" s="15" t="inlineStr">
        <is>
          <t>Đăng bài thành công vào &lt;group&gt; (chờ duyệt) · Group cần duyệt bài</t>
        </is>
      </c>
      <c r="E30" s="15" t="inlineStr">
        <is>
          <t>Đăng bài vào group.</t>
        </is>
      </c>
      <c r="F30" s="15" t="inlineStr">
        <is>
          <t>Nằm trong 429.938 dòng “Đăng bài – thành công” (không tách riêng trong thống kê này).</t>
        </is>
      </c>
      <c r="G30" s="15" t="inlineStr">
        <is>
          <t>Group bật kiểm duyệt: bài đã gửi nhưng phải chờ admin duyệt. Không phải lỗi nhưng ảnh hưởng tới comment sau đăng và hiệu quả chiến dịch.</t>
        </is>
      </c>
      <c r="H30" s="15" t="inlineStr">
        <is>
          <t>Không tác động.</t>
        </is>
      </c>
      <c r="I30" s="15" t="inlineStr">
        <is>
          <t>Ghi “thành công – chờ duyệt”; lưu group “cần duyệt” để khách chọn bỏ qua; theo dõi bài được duyệt / bị từ chối để báo cáo.</t>
        </is>
      </c>
      <c r="J30" s="15" t="inlineStr">
        <is>
          <t>Không comment ngay lên bài chờ duyệt; hẹn comment sau khi được duyệt.</t>
        </is>
      </c>
      <c r="K30" s="15" t="inlineStr">
        <is>
          <t>fb_detect_pending_post mở /groups/&lt;id&gt;/my_pending_content: có BẤT KỲ bài chờ nào → coi bài vừa đăng là chờ duyệt; lưu requires_post_approval cho group (dùng để bỏ qua group ở lần sau nếu bật tuỳ chọn); không kiểm tra URL cuối (có thể là trang login/checkpoint).</t>
        </is>
      </c>
      <c r="L30" s="16" t="inlineStr">
        <is>
          <t>Đúng một phần</t>
        </is>
      </c>
      <c r="M30" s="15" t="inlineStr">
        <is>
          <t>Có thể đánh dấu nhầm (bài cũ đang chờ cũng tính); trang login/checkpoint cũng bị coi là kết luận; ≈2.015 lần comment thất bại trên “bài của mình” cho thấy xử lý comment khi chờ duyệt chưa đủ.</t>
        </is>
      </c>
      <c r="N30" s="16" t="inlineStr">
        <is>
          <t>P2</t>
        </is>
      </c>
      <c r="O30" s="15" t="inlineStr">
        <is>
          <t>auto_blocks.fb_detect_pending_post (#31); campaignScheduler.ts:10409-10453.</t>
        </is>
      </c>
    </row>
    <row r="31" ht="58" customHeight="1">
      <c r="A31" s="12" t="n">
        <v>24</v>
      </c>
      <c r="B31" s="13" t="inlineStr">
        <is>
          <t>Tham gia group</t>
        </is>
      </c>
      <c r="C31" s="14" t="inlineStr">
        <is>
          <t>ĐỀ XUẤT: err_fb_join_group_failed
(hiện tại: err_undefined)</t>
        </is>
      </c>
      <c r="D31" s="15" t="inlineStr">
        <is>
          <t>Lỗi tham gia group &lt;tên&gt;: Lỗi khi nhấn nút tham gia group</t>
        </is>
      </c>
      <c r="E31" s="15" t="inlineStr">
        <is>
          <t>Tham gia vào group (fb_join_group).</t>
        </is>
      </c>
      <c r="F31" s="15" t="inlineStr">
        <is>
          <t>~20 dòng “lỗi” (07→09/2026). Tổng tham gia group: 22.923 thành công, 26.757 “đã tham gia”.</t>
        </is>
      </c>
      <c r="G31" s="15" t="inlineStr">
        <is>
          <t>Không bấm được nút Tham gia: nút đổi chữ / vị trí, group yêu cầu trả lời câu hỏi, FB giới hạn số group tham gia / ngày, hoặc tài khoản bị chặn tính năng tham gia.</t>
        </is>
      </c>
      <c r="H31" s="15" t="inlineStr">
        <is>
          <t>Thấy thông báo giới hạn / chặn tham gia → khóa fb_join_group 24h + cảnh báo.</t>
        </is>
      </c>
      <c r="I31" s="15" t="inlineStr">
        <is>
          <t>Ghi “thất bại” với lý do cụ thể; chạy tiếp; chỉ dừng khi nhiều group liên tiếp cùng lỗi.</t>
        </is>
      </c>
      <c r="J31" s="15" t="inlineStr">
        <is>
          <t>Xử lý hộp thoại câu hỏi tham gia (đã có fillTextarea / clickCheckbox); xác minh nút chuyển sang “Hủy yêu cầu” / “Đã tham gia”.</t>
        </is>
      </c>
      <c r="K31" s="15" t="inlineStr">
        <is>
          <t>Throw → “lỗi” + err_undefined, vẫn tính hạn mức fb_join_group (counts_toward_limit = true), tăng bộ đếm.</t>
        </is>
      </c>
      <c r="L31" s="16" t="inlineStr">
        <is>
          <t>Chưa đúng</t>
        </is>
      </c>
      <c r="M31" s="15" t="inlineStr">
        <is>
          <t>“lỗi” nhưng vẫn trừ hạn mức; không phân biệt bị FB chặn với lỗi giao diện.</t>
        </is>
      </c>
      <c r="N31" s="16" t="inlineStr">
        <is>
          <t>P2</t>
        </is>
      </c>
      <c r="O31" s="15" t="inlineStr">
        <is>
          <t>auto_blocks.fb_join_group (#2793); campaignScheduler.ts:10207-10231.</t>
        </is>
      </c>
    </row>
    <row r="32" ht="58" customHeight="1">
      <c r="A32" s="12" t="n">
        <v>25</v>
      </c>
      <c r="B32" s="13" t="inlineStr">
        <is>
          <t>Mời vào group</t>
        </is>
      </c>
      <c r="C32" s="14" t="inlineStr">
        <is>
          <t>ĐỀ XUẤT: err_fb_group_invite_ui
(hiện tại: err_undefined / “không tồn tại”)</t>
        </is>
      </c>
      <c r="D32" s="15" t="inlineStr">
        <is>
          <t>Không tìm thấy bạn bè trong form mời (“không tồn tại”) · Không tìm thấy input tìm bạn bè trong form mời · Dialog mời vào group vẫn mở sau khi gửi lời mời · Không tìm thấy nút mời</t>
        </is>
      </c>
      <c r="E32" s="15" t="inlineStr">
        <is>
          <t>Mời vào group (fb_group_invite).</t>
        </is>
      </c>
      <c r="F32" s="15" t="inlineStr">
        <is>
          <t>117 “không tồn tại”, 17 “lỗi” (09/07→27/09/2026); thành công 444, đã mời trước đó 406, đã là thành viên 39.</t>
        </is>
      </c>
      <c r="G32" s="15" t="inlineStr">
        <is>
          <t>Người được mời không có trong danh sách bạn bè / tên không khớp (cấp target); form mời đổi giao diện hoặc FB không cho mời (cấp kỹ thuật / tài khoản).</t>
        </is>
      </c>
      <c r="H32" s="15" t="inlineStr">
        <is>
          <t>FB báo giới hạn mời → khóa fb_group_invite có thời hạn.</t>
        </is>
      </c>
      <c r="I32" s="15" t="inlineStr">
        <is>
          <t>“không tồn tại” giữ nguyên (không tính bộ đếm). Lỗi form: trả các bạn bè đã chọn về “chờ xử lý” và thử lại 1 lần trước khi tạm dừng.</t>
        </is>
      </c>
      <c r="J32" s="15" t="inlineStr">
        <is>
          <t>Nhận diện trạng thái theo cả giao diện tiếng Anh (hiện chỉ dò chữ tiếng Việt “Đã mời”, “Đã là thành viên”).</t>
        </is>
      </c>
      <c r="K32" s="15" t="inlineStr">
        <is>
          <t>“không tồn tại” / “đã mời” / “đã là thành viên” reset bộ đếm; lỗi gửi → trả các dòng đã chọn về “chờ xử lý” và “tạm dừng” chiến dịch; lỗi cả lô → 1 dòng “lỗi” không gắn input và tạm dừng ngay.</t>
        </is>
      </c>
      <c r="L32" s="16" t="inlineStr">
        <is>
          <t>Đúng một phần</t>
        </is>
      </c>
      <c r="M32" s="15" t="inlineStr">
        <is>
          <t>Tạm dừng ngay khi lỗi form (không thử lại); chỉ hỗ trợ giao diện tiếng Việt.</t>
        </is>
      </c>
      <c r="N32" s="16" t="inlineStr">
        <is>
          <t>P2</t>
        </is>
      </c>
      <c r="O32" s="15" t="inlineStr">
        <is>
          <t>auto_blocks.fb_group_invite (#2819); campaignScheduler.ts:4652-4825.</t>
        </is>
      </c>
    </row>
    <row r="33" ht="97" customHeight="1">
      <c r="A33" s="12" t="n">
        <v>26</v>
      </c>
      <c r="B33" s="13" t="inlineStr">
        <is>
          <t>Chuyển danh tính Page</t>
        </is>
      </c>
      <c r="C33" s="14" t="inlineStr">
        <is>
          <t>ĐỀ XUẤT: err_fb_identity_switch
(hiện tại: err_undefined; riêng khôi phục lỗi → “tạm dừng”)</t>
        </is>
      </c>
      <c r="D33" s="15" t="inlineStr">
        <is>
          <t>Không tìm thấy nút xem tất cả profile/page · Không lấy được tên Facebook identity hiện tại · Có lỗi xảy ra khi chọn page/profile: waitForSelector timeout: //input[contains(@aria-label,'Tìm kiếm trang')] · Không chuyển về được danh tính ban đầu: … Vui lòng kiểm tra trình duyệt trước khi tiếp tục.</t>
        </is>
      </c>
      <c r="E33" s="15" t="inlineStr">
        <is>
          <t>Đăng group / comment / tham gia group bằng danh tính Page.</t>
        </is>
      </c>
      <c r="F33" s="15" t="inlineStr">
        <is>
          <t>≈45 lượt chạy lỗi (18→27/09/2026) · 5 chiến dịch “tạm dừng” vì không khôi phục được danh tính.</t>
        </is>
      </c>
      <c r="G33" s="15" t="inlineStr">
        <is>
          <t>Tính năng chuyển qua lại giữa trang cá nhân và Page lỗi giao diện (menu đổi, Page không hiện trong danh sách, mất quyền Page).
Không chuyển về được thì tài khoản đang “đứng” dưới danh nghĩa Page → mọi chiến dịch khác của tài khoản sẽ chạy sai danh tính.</t>
        </is>
      </c>
      <c r="H33" s="15" t="inlineStr">
        <is>
          <t>Không khôi phục được danh tính: tạm dừng TẤT CẢ chiến dịch của tài khoản (không chỉ chiến dịch hiện tại) + cảnh báo.</t>
        </is>
      </c>
      <c r="I33" s="15" t="inlineStr">
        <is>
          <t>Không chuyển được sang Page: bỏ qua lượt, target trả “chờ xử lý”, note “Không chuyển được sang Page X”; kiểm tra danh tính hiện tại trước mỗi target.</t>
        </is>
      </c>
      <c r="J33" s="15" t="inlineStr">
        <is>
          <t>Không tính hạn mức khi chưa thực hiện hành động.</t>
        </is>
      </c>
      <c r="K33" s="15" t="inlineStr">
        <is>
          <t>Chuyển danh tính lỗi → lượt chạy failed → err_undefined (target bị tiêu hao). Không khôi phục được → chiến dịch “tạm dừng” + note “Vui lòng kiểm tra trình duyệt…”.</t>
        </is>
      </c>
      <c r="L33" s="16" t="inlineStr">
        <is>
          <t>Đúng một phần</t>
        </is>
      </c>
      <c r="M33" s="15" t="inlineStr">
        <is>
          <t>Dừng khi không khôi phục được là đúng hướng nhưng chỉ dừng 1 chiến dịch; lỗi chuyển danh tính làm mất target và tính bộ đếm.</t>
        </is>
      </c>
      <c r="N33" s="16" t="inlineStr">
        <is>
          <t>P2</t>
        </is>
      </c>
      <c r="O33" s="15" t="inlineStr">
        <is>
          <t>auto_blocks #2670, #2671, #2829.</t>
        </is>
      </c>
    </row>
    <row r="34" ht="71" customHeight="1">
      <c r="A34" s="12" t="n">
        <v>27</v>
      </c>
      <c r="B34" s="13" t="inlineStr">
        <is>
          <t>Lướt newsfeed</t>
        </is>
      </c>
      <c r="C34" s="14" t="inlineStr">
        <is>
          <t>(hiện tại: không mã; chiến dịch hằng ngày → “hoàn thành”)</t>
        </is>
      </c>
      <c r="D34" s="15" t="inlineStr">
        <is>
          <t>Body iteration lỗi · ifElse/while condition lỗi: Script execution timed out after …ms · Block không tìm thấy (fb_newsfeed_…)</t>
        </is>
      </c>
      <c r="E34" s="15" t="inlineStr">
        <is>
          <t>Lướt newsfeed và tương tác (like / comment).</t>
        </is>
      </c>
      <c r="F34" s="15" t="inlineStr">
        <is>
          <t>Lịch sử hành động chỉ có thành công (like 8.795, comment 727), 0 dòng lỗi; 20 chiến dịch có lý do đếm lỗi “Body iteration lỗi”; 9 lượt script quá thời gian.</t>
        </is>
      </c>
      <c r="G34" s="15" t="inlineStr">
        <is>
          <t>Lỗi vòng lặp đọc newsfeed (script chạy quá thời gian, phần tử bài viết thay đổi). Lỗi kỹ thuật.</t>
        </is>
      </c>
      <c r="H34" s="15" t="inlineStr">
        <is>
          <t>Không tác động (trừ giới hạn comment → STT 8).</t>
        </is>
      </c>
      <c r="I34" s="15" t="inlineStr">
        <is>
          <t>Không đánh “hoàn thành” khi lỗi; chuyển “chờ xử lý” và chạy lại phiên kế tiếp; log rõ “Lỗi khi lướt newsfeed”.</t>
        </is>
      </c>
      <c r="J34" s="15" t="inlineStr">
        <is>
          <t>Bỏ qua bài lỗi, tiếp tục bài khác trong phiên.</t>
        </is>
      </c>
      <c r="K34" s="15" t="inlineStr">
        <is>
          <t>Chiến dịch newsfeed hằng ngày: mọi lỗi (trừ giới hạn comment) → chiến dịch “hoàn thành” với note lỗi thô và log “Hoàn thành chiến dịch …”; không chạy tiếp ngày sau; lỗi không có dòng lịch sử.</t>
        </is>
      </c>
      <c r="L34" s="16" t="inlineStr">
        <is>
          <t>Chưa đúng</t>
        </is>
      </c>
      <c r="M34" s="15" t="inlineStr">
        <is>
          <t>Báo “Hoàn thành” khi thực chất lỗi; chiến dịch hằng ngày dừng hẳn vì 1 lỗi kỹ thuật.</t>
        </is>
      </c>
      <c r="N34" s="16" t="inlineStr">
        <is>
          <t>P2</t>
        </is>
      </c>
      <c r="O34" s="15" t="inlineStr">
        <is>
          <t>campaignScheduler.ts:3938-3945 (completeNewsfeedDailyWithoutNextDay).</t>
        </is>
      </c>
    </row>
    <row r="35" ht="84" customHeight="1">
      <c r="A35" s="12" t="n">
        <v>28</v>
      </c>
      <c r="B35" s="13" t="inlineStr">
        <is>
          <t>Dịch vụ AI / quét data</t>
        </is>
      </c>
      <c r="C35" s="14" t="inlineStr">
        <is>
          <t>ĐỀ XUẤT: err_ai_service · err_campaign_config
(hiện tại: “lỗi” không action_code, không error_code)</t>
        </is>
      </c>
      <c r="D35" s="15" t="inlineStr">
        <is>
          <t>AI trả về lỗi &lt;mã&gt;: {"message":"Insufficient Balance",…} · AI không trả về nội dung · Lỗi không xác định · The operation was aborted due to timeout · Thiếu từ khóa search · helpers.logRunEvent is not a function</t>
        </is>
      </c>
      <c r="E35" s="15" t="inlineStr">
        <is>
          <t>Tìm kiếm data trong group, Tìm kiếm data bằng search.</t>
        </is>
      </c>
      <c r="F35" s="15" t="inlineStr">
        <is>
          <t>Tìm data group: 703 “lỗi” (Lỗi không xác định 266, mạng ≈158, AI hết số dư 99, huỷ 84, timeout 56…).
Tìm data search: 246 “lỗi” (AI hết số dư 151, thiếu từ khóa 24…). AI hết số dư kéo dài 12/07→10/09/2026.</t>
        </is>
      </c>
      <c r="G35" s="15" t="inlineStr">
        <is>
          <t>Phần lớn không phải lỗi FB: dịch vụ AI hết tiền (lỗi vận hành, ảnh hưởng mọi khách cùng lúc), cấu hình thiếu từ khóa, lỗi code (hàm không tồn tại – bản lỗi 06/2026), mạng.</t>
        </is>
      </c>
      <c r="H35" s="15" t="inlineStr">
        <is>
          <t>Không tác động tài khoản FB.</t>
        </is>
      </c>
      <c r="I35" s="15" t="inlineStr">
        <is>
          <t>AI hết số dư: cảnh báo admin ngay, tạm dừng bước AI toàn hệ thống (hoặc chạy không lọc AI) thay vì làm lỗi từng chiến dịch.
Thiếu từ khóa: chặn ngay khi tạo chiến dịch.</t>
        </is>
      </c>
      <c r="J35" s="15" t="inlineStr">
        <is>
          <t>Không tính hạn mức.</t>
        </is>
      </c>
      <c r="K35" s="15" t="inlineStr">
        <is>
          <t>Ghi 1 dòng “lỗi” (không action_code, không error_code) với lỗi thô; tăng bộ đếm err_undefined.</t>
        </is>
      </c>
      <c r="L35" s="16" t="inlineStr">
        <is>
          <t>Chưa đúng</t>
        </is>
      </c>
      <c r="M35" s="15" t="inlineStr">
        <is>
          <t>Lỗi vận hành (AI hết tiền) kéo dài 2 tháng mà không có cảnh báo; hiển thị JSON kỹ thuật cho khách; thiếu mã lỗi nên không thống kê được.</t>
        </is>
      </c>
      <c r="N35" s="16" t="inlineStr">
        <is>
          <t>P2</t>
        </is>
      </c>
      <c r="O35" s="15" t="inlineStr">
        <is>
          <t>auto_campaign_details (facebook_find_data_*); campaignScheduler.ts:10055-10063.</t>
        </is>
      </c>
    </row>
    <row r="36" ht="97" customHeight="1">
      <c r="A36" s="12" t="n">
        <v>29</v>
      </c>
      <c r="B36" s="13" t="inlineStr">
        <is>
          <t>Hệ thống / runtime / server</t>
        </is>
      </c>
      <c r="C36" s="14" t="inlineStr">
        <is>
          <t>ĐỀ XUẤT: err_runtime_browser · err_server_unreachable
(hiện tại: err_undefined)</t>
        </is>
      </c>
      <c r="D36" s="15" t="inlineStr">
        <is>
          <t>Object has been destroyed · Could not find node with given id · ifElse/while condition lỗi: Script execution timed out · Failed to update campaign input data / Failed to get account / Failed to get error policy: TypeError: fetch failed · Could not query the database for the schema cache</t>
        </is>
      </c>
      <c r="E36" s="15" t="inlineStr">
        <is>
          <t>Mọi chiến dịch FB.</t>
        </is>
      </c>
      <c r="F36" s="15" t="inlineStr">
        <is>
          <t>Object has been destroyed ≈40 lượt; script quá thời gian ≈16; ≈45 chiến dịch có lý do đếm lỗi gần nhất là mất kết nối server (fetch failed / schema cache).</t>
        </is>
      </c>
      <c r="G36" s="15" t="inlineStr">
        <is>
          <t>Cửa sổ trình duyệt ẩn của tài khoản bị đóng / crash giữa chừng, script chạy quá thời gian, hoặc mất kết nối tới server Supabase. Lỗi hạ tầng phần mềm.</t>
        </is>
      </c>
      <c r="H36" s="15" t="inlineStr">
        <is>
          <t>Không tác động; crash lặp lại → khởi tạo lại cửa sổ trình duyệt của tài khoản.</t>
        </is>
      </c>
      <c r="I36" s="15" t="inlineStr">
        <is>
          <t>Không tiêu hao target, không tính bộ đếm; retry có backoff; mất kết nối server kéo dài → dừng toàn bộ scheduler và tự chạy lại khi có kết nối (không đổi trạng thái từng chiến dịch).</t>
        </is>
      </c>
      <c r="J36" s="15" t="inlineStr">
        <is>
          <t>Không tính hạn mức.</t>
        </is>
      </c>
      <c r="K36" s="15" t="inlineStr">
        <is>
          <t>Như lỗi chung: err_undefined → target “hoàn thành” → bộ đếm; lỗi server có thể làm chính việc cập nhật trạng thái thất bại.</t>
        </is>
      </c>
      <c r="L36" s="16" t="inlineStr">
        <is>
          <t>Chưa đúng</t>
        </is>
      </c>
      <c r="M36" s="15" t="inlineStr">
        <is>
          <t>Lỗi hạ tầng bị tính cho chiến dịch của khách và làm dừng chiến dịch.</t>
        </is>
      </c>
      <c r="N36" s="16" t="inlineStr">
        <is>
          <t>P2</t>
        </is>
      </c>
      <c r="O36" s="15" t="inlineStr">
        <is>
          <t>auto_runs.error; auto_campaign_error_state.last_reason.</t>
        </is>
      </c>
    </row>
    <row r="37" ht="71" customHeight="1">
      <c r="A37" s="12" t="n">
        <v>30</v>
      </c>
      <c r="B37" s="13" t="inlineStr">
        <is>
          <t>Điều khiển (huỷ / dừng)</t>
        </is>
      </c>
      <c r="C37" s="14" t="inlineStr">
        <is>
          <t>ĐỀ XUẤT: không coi là lỗi (trạng thái “đã huỷ” hoặc trả target về “chờ xử lý”)
(hiện tại: “thất bại” hoặc err_undefined)</t>
        </is>
      </c>
      <c r="D37" s="15" t="inlineStr">
        <is>
          <t>Block bị huỷ trong khi sleep · Block bị huỷ trước khi sleep · Aborted · Đã dừng chờ xác nhận đăng bài · Đã dừng upload ảnh/video</t>
        </is>
      </c>
      <c r="E37" s="15" t="inlineStr">
        <is>
          <t>Mọi chiến dịch FB khi khách bấm tạm dừng / dừng, thoát app, đăng xuất app.</t>
        </is>
      </c>
      <c r="F37" s="15" t="inlineStr">
        <is>
          <t>≈350 dòng lịch sử: inbox page 177 (“lỗi”), tìm data 87, comment ≈60, đăng group ≈10, nhắn tin / kết bạn ≈15…</t>
        </is>
      </c>
      <c r="G37" s="15" t="inlineStr">
        <is>
          <t>Không phải lỗi Facebook: lượt chạy bị huỷ do người dùng tạm dừng, thoát ứng dụng hoặc scheduler dừng. Kết quả của hành động đang dở KHÔNG chắc chắn.</t>
        </is>
      </c>
      <c r="H37" s="15" t="inlineStr">
        <is>
          <t>Không tác động tài khoản.</t>
        </is>
      </c>
      <c r="I37" s="15" t="inlineStr">
        <is>
          <t>Trả target về “chờ xử lý” (nếu chắc chắn chưa gửi) hoặc “hoàn thành – kết quả chưa xác nhận” (nếu có thể đã gửi); không ghi dòng thất bại/lỗi; không tính bộ đếm.</t>
        </is>
      </c>
      <c r="J37" s="15" t="inlineStr">
        <is>
          <t>Không tính hạn mức.</t>
        </is>
      </c>
      <c r="K37" s="15" t="inlineStr">
        <is>
          <t>Khi tạm dừng, input bị huỷ trả về “chờ xử lý” (đúng).
Nhưng: comment / nhắn tin / kết bạn bị huỷ ghi “thất bại” (tính hạn mức); inbox / đăng bài ghi “lỗi” err_undefined; khi scheduler dừng (thoát app) input bị đánh “hoàn thành” + “Lỗi không xác định” và tăng bộ đếm.</t>
        </is>
      </c>
      <c r="L37" s="16" t="inlineStr">
        <is>
          <t>Đúng một phần</t>
        </is>
      </c>
      <c r="M37" s="15" t="inlineStr">
        <is>
          <t>Hành động người dùng chủ động bị ghi thành thất bại / lỗi → sai số liệu, ăn hạn mức và có thể làm dừng chiến dịch sau khi bật lại.</t>
        </is>
      </c>
      <c r="N37" s="16" t="inlineStr">
        <is>
          <t>P2</t>
        </is>
      </c>
      <c r="O37" s="15" t="inlineStr">
        <is>
          <t>blockHelpers.ts (sleep với AbortSignal); campaignScheduler.ts:3916-3959.</t>
        </is>
      </c>
    </row>
    <row r="38" ht="97" customHeight="1">
      <c r="A38" s="12" t="n">
        <v>31</v>
      </c>
      <c r="B38" s="13" t="inlineStr">
        <is>
          <t>Dữ liệu đầu vào / cấu hình chiến dịch</t>
        </is>
      </c>
      <c r="C38" s="14" t="inlineStr">
        <is>
          <t>ĐỀ XUẤT: err_invalid_target · err_campaign_config
(hiện tại: err_undefined)</t>
        </is>
      </c>
      <c r="D38" s="15" t="inlineStr">
        <is>
          <t>fb_resolve_url: missing input (raw + vars.inputDataUid + vars.targetUrl are empty) · Link group không hợp lệ · Link group nhận lời mời không hợp lệ · Thiếu từ khóa search · videoPath rỗng (cần ít nhất 1 video) · Lịch chạy không hợp lệ · Không tìm thấy workflow chạy bằng Page</t>
        </is>
      </c>
      <c r="E38" s="15" t="inlineStr">
        <is>
          <t>Comment bài post (146), Tham gia group (~60), Tìm data search (24), Đăng reels / trang cá nhân (19), Nhắn UID (9)…</t>
        </is>
      </c>
      <c r="F38" s="15" t="inlineStr">
        <is>
          <t>≈210 lượt chạy lỗi + ≈60 dòng “lỗi” “Link group không hợp lệ” (tham gia group) + 3 chiến dịch “tạm dừng” vì lịch chạy / workflow.</t>
        </is>
      </c>
      <c r="G38" s="15" t="inlineStr">
        <is>
          <t>Dữ liệu / cấu hình khách nhập không hợp lệ (dòng data trống, link sai định dạng, thiếu từ khóa, thiếu video). Lỗi chắc chắn lặp lại, không liên quan FB.
Lưu ý: toàn bộ dòng “Link group không hợp lệ” của tham gia group đều là “lỗi” → đến từ nhánh mở trang (page.navigate) bị lỗi, tức phần lớn là lỗi tải trang bị gắn nhầm nhãn.</t>
        </is>
      </c>
      <c r="H38" s="15" t="inlineStr">
        <is>
          <t>Không tác động tài khoản.</t>
        </is>
      </c>
      <c r="I38" s="15" t="inlineStr">
        <is>
          <t>Chặn ngay khi tạo / nhập data (kiểm tra link, UID, từ khóa, media).
Khi chạy gặp target sai → đánh dấu “dữ liệu không hợp lệ” và bỏ qua (không tính bộ đếm).
Lỗi cấu hình chiến dịch → “tạm dừng” ngay với hướng dẫn sửa.</t>
        </is>
      </c>
      <c r="J38" s="15" t="inlineStr">
        <is>
          <t>Không tính hạn mức.</t>
        </is>
      </c>
      <c r="K38" s="15" t="inlineStr">
        <is>
          <t>Hầu hết throw → err_undefined → input “hoàn thành” → bộ đếm.
Tham gia group: “Link group không hợp lệ” ghi “lỗi” nhưng vẫn tính hạn mức fb_join_group; lỗi mở trang cũng bị báo nhầm là link không hợp lệ.</t>
        </is>
      </c>
      <c r="L38" s="16" t="inlineStr">
        <is>
          <t>Chưa đúng</t>
        </is>
      </c>
      <c r="M38" s="15" t="inlineStr">
        <is>
          <t>Lỗi dữ liệu bị ghi như lỗi hệ thống, tốn hạn mức và thông báo nhầm (lỗi mạng hiện thành “link không hợp lệ”).</t>
        </is>
      </c>
      <c r="N38" s="16" t="inlineStr">
        <is>
          <t>P2</t>
        </is>
      </c>
      <c r="O38" s="15" t="inlineStr">
        <is>
          <t>auto_blocks.fb_resolve_url (#612), fb_join_group (#2793: catch navigate → throw “Link group không hợp lệ”).</t>
        </is>
      </c>
    </row>
    <row r="40">
      <c r="B40" s="17" t="inlineStr">
        <is>
          <t>Tổng hợp đánh giá</t>
        </is>
      </c>
      <c r="E40" s="17" t="inlineStr">
        <is>
          <t>Theo mức ưu tiên</t>
        </is>
      </c>
    </row>
    <row r="41">
      <c r="B41" s="14" t="inlineStr">
        <is>
          <t>Đúng</t>
        </is>
      </c>
      <c r="C41" s="12">
        <f>COUNTIF($L$8:$L$38,B41)</f>
        <v>0</v>
      </c>
      <c r="E41" s="16" t="inlineStr">
        <is>
          <t>P0</t>
        </is>
      </c>
      <c r="F41" s="12">
        <f>COUNTIF($N$8:$N$38,E41)</f>
        <v>5</v>
      </c>
    </row>
    <row r="42">
      <c r="B42" s="14" t="inlineStr">
        <is>
          <t>Đúng một phần</t>
        </is>
      </c>
      <c r="C42" s="12">
        <f>COUNTIF($L$8:$L$38,B42)</f>
        <v>13</v>
      </c>
      <c r="E42" s="16" t="inlineStr">
        <is>
          <t>P1</t>
        </is>
      </c>
      <c r="F42" s="12">
        <f>COUNTIF($N$8:$N$38,E42)</f>
        <v>12</v>
      </c>
    </row>
    <row r="43">
      <c r="B43" s="14" t="inlineStr">
        <is>
          <t>Chưa đúng</t>
        </is>
      </c>
      <c r="C43" s="12">
        <f>COUNTIF($L$8:$L$38,B43)</f>
        <v>17</v>
      </c>
      <c r="E43" s="16" t="inlineStr">
        <is>
          <t>P2</t>
        </is>
      </c>
      <c r="F43" s="12">
        <f>COUNTIF($N$8:$N$38,E43)</f>
        <v>14</v>
      </c>
    </row>
    <row r="44">
      <c r="B44" s="14" t="inlineStr">
        <is>
          <t>Chưa có xử lý</t>
        </is>
      </c>
      <c r="C44" s="12">
        <f>COUNTIF($L$8:$L$38,B44)</f>
        <v>1</v>
      </c>
    </row>
    <row r="45">
      <c r="B45" s="14" t="inlineStr">
        <is>
          <t>Tổng số lỗi</t>
        </is>
      </c>
      <c r="C45" s="16">
        <f>COUNTA($A$8:$A$38)</f>
        <v>31</v>
      </c>
    </row>
  </sheetData>
  <autoFilter ref="A7:O38"/>
  <mergeCells count="8">
    <mergeCell ref="A2:O2"/>
    <mergeCell ref="K6:M6"/>
    <mergeCell ref="A6:G6"/>
    <mergeCell ref="N6:O6"/>
    <mergeCell ref="A1:O1"/>
    <mergeCell ref="A4:O4"/>
    <mergeCell ref="A3:O3"/>
    <mergeCell ref="H6:J6"/>
  </mergeCells>
  <conditionalFormatting sqref="L8:L38">
    <cfRule type="expression" priority="1" dxfId="0">
      <formula>$L8="Đúng"</formula>
    </cfRule>
    <cfRule type="expression" priority="2" dxfId="1">
      <formula>$L8="Đúng một phần"</formula>
    </cfRule>
    <cfRule type="expression" priority="3" dxfId="2">
      <formula>$L8="Chưa đúng"</formula>
    </cfRule>
    <cfRule type="expression" priority="4" dxfId="3">
      <formula>$L8="Chưa có xử lý"</formula>
    </cfRule>
  </conditionalFormatting>
  <conditionalFormatting sqref="N8:N38">
    <cfRule type="expression" priority="5" dxfId="2">
      <formula>$N8="P0"</formula>
    </cfRule>
    <cfRule type="expression" priority="6" dxfId="4">
      <formula>$N8="P1"</formula>
    </cfRule>
    <cfRule type="expression" priority="7" dxfId="5">
      <formula>$N8="P2"</formula>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5" customWidth="1" min="1" max="1"/>
    <col width="22" customWidth="1" min="2" max="2"/>
    <col width="34" customWidth="1" min="3" max="3"/>
    <col width="34" customWidth="1" min="4" max="4"/>
    <col width="34" customWidth="1" min="5" max="5"/>
    <col width="30" customWidth="1" min="6" max="6"/>
    <col width="30" customWidth="1" min="7" max="7"/>
    <col width="34" customWidth="1" min="8" max="8"/>
  </cols>
  <sheetData>
    <row r="1" ht="24" customHeight="1">
      <c r="A1" s="1" t="inlineStr">
        <is>
          <t>TÓM TẮT PHÁT HIỆN – MÔ HÌNH XỬ LÝ ĐỀ XUẤT – LỘ TRÌNH ƯU TIÊN</t>
        </is>
      </c>
    </row>
    <row r="2" ht="26" customHeight="1">
      <c r="A2" s="2" t="inlineStr">
        <is>
          <t>Tổng hợp từ sheet 1 (31 lỗi) và sheet 3–5 (số liệu). “STT” tham chiếu cột STT ở sheet 1.</t>
        </is>
      </c>
    </row>
    <row r="4">
      <c r="A4" s="17" t="inlineStr">
        <is>
          <t>A. PHÁT HIỆN CHÍNH</t>
        </is>
      </c>
    </row>
    <row r="5" ht="32" customHeight="1">
      <c r="A5" s="16" t="n">
        <v>1</v>
      </c>
      <c r="B5" s="15" t="inlineStr">
        <is>
          <t>Hệ thống chỉ có 3 mã lỗi riêng cho Facebook (giới hạn tần suất đăng bài group, giới hạn tần suất comment, giới hạn tin nhắn đang chờ) – và mã thứ 3 thực tế không bao giờ được kích hoạt. Hơn 90% lượt chạy lỗi của Facebook rơi vào mã chung err_undefined (“Có lỗi xảy ra”).</t>
        </is>
      </c>
      <c r="C5" s="4" t="n"/>
      <c r="D5" s="4" t="n"/>
      <c r="E5" s="4" t="n"/>
      <c r="F5" s="4" t="n"/>
      <c r="G5" s="4" t="n"/>
      <c r="H5" s="5" t="n"/>
    </row>
    <row r="6" ht="32" customHeight="1">
      <c r="A6" s="16" t="n">
        <v>2</v>
      </c>
      <c r="B6" s="15" t="inlineStr">
        <is>
          <t>Lỗi số 1 là không mở được ô đăng bài trong group: 37.949 lượt / 4.461 chiến dịch / 702 tài khoản; riêng 13–28/09 chiếm 81% lỗi đăng group. Đây là triệu chứng chung (chưa tham gia nhóm, nhóm chỉ admin đăng, tài khoản bị checkpoint/chặn…) nhưng không được phân loại, không có dòng Lịch sử hành động và group bị tiêu hao. Theo Lịch sử hành động tỷ lệ lỗi đăng group chỉ ~1,4%, nhưng Lịch sử chạy còn ≈41.000 lượt lỗi trước khi đăng không hề được ghi.</t>
        </is>
      </c>
      <c r="C6" s="4" t="n"/>
      <c r="D6" s="4" t="n"/>
      <c r="E6" s="4" t="n"/>
      <c r="F6" s="4" t="n"/>
      <c r="G6" s="4" t="n"/>
      <c r="H6" s="5" t="n"/>
    </row>
    <row r="7" ht="19" customHeight="1">
      <c r="A7" s="16" t="n">
        <v>3</v>
      </c>
      <c r="B7" s="15" t="inlineStr">
        <is>
          <t>Giới hạn tần suất đăng bài (3.847 lần, 306 tài khoản, 1.297 chiến dịch) đang xử lý ở cấp chiến dịch: dừng 1 chiến dịch, không tự chạy lại, không khoá hành động cấp tài khoản → các chiến dịch khác cùng tài khoản vẫn tiếp tục “đâm” vào giới hạn.</t>
        </is>
      </c>
      <c r="C7" s="4" t="n"/>
      <c r="D7" s="4" t="n"/>
      <c r="E7" s="4" t="n"/>
      <c r="F7" s="4" t="n"/>
      <c r="G7" s="4" t="n"/>
      <c r="H7" s="5" t="n"/>
    </row>
    <row r="8" ht="19" customHeight="1">
      <c r="A8" s="16" t="n">
        <v>4</v>
      </c>
      <c r="B8" s="15" t="inlineStr">
        <is>
          <t>Checkpoint và “bị chặn tính năng” gần như không được phát hiện trong lúc chạy (poller coi có cookie c_user là đã đăng nhập; block không dò thông báo chặn) → tài khoản đang bị hạn chế vẫn tiếp tục thao tác, tăng nguy cơ mất tài khoản.</t>
        </is>
      </c>
      <c r="C8" s="4" t="n"/>
      <c r="D8" s="4" t="n"/>
      <c r="E8" s="4" t="n"/>
      <c r="F8" s="4" t="n"/>
      <c r="G8" s="4" t="n"/>
      <c r="H8" s="5" t="n"/>
    </row>
    <row r="9" ht="32" customHeight="1">
      <c r="A9" s="16" t="n">
        <v>5</v>
      </c>
      <c r="B9" s="15" t="inlineStr">
        <is>
          <t>Trạng thái kết quả bị ghi sai bản chất: lỗi kỹ thuật (không thấy ô chat / ô bình luận) bị ghi “thất bại” và ăn hạn mức; “Bỏ qua kết bạn” bị ghi “thành công” (thành công ảo); ngược lại hội thoại inbox không thể trả lời (9.356 lần) bị ghi “lỗi” hệ thống và làm dừng chiến dịch.</t>
        </is>
      </c>
      <c r="C9" s="4" t="n"/>
      <c r="D9" s="4" t="n"/>
      <c r="E9" s="4" t="n"/>
      <c r="F9" s="4" t="n"/>
      <c r="G9" s="4" t="n"/>
      <c r="H9" s="5" t="n"/>
    </row>
    <row r="10" ht="19" customHeight="1">
      <c r="A10" s="16" t="n">
        <v>6</v>
      </c>
      <c r="B10" s="15" t="inlineStr">
        <is>
          <t>Lỗi tạm thời không được thử lại: lỗi mạng (≈1.100 lượt), lỗi hệ thống (Block không tìm thấy ≈360), lượt bị huỷ… đều làm target bị đánh “hoàn thành” (mất vĩnh viễn) và cộng vào bộ đếm dừng chiến dịch.</t>
        </is>
      </c>
      <c r="C10" s="4" t="n"/>
      <c r="D10" s="4" t="n"/>
      <c r="E10" s="4" t="n"/>
      <c r="F10" s="4" t="n"/>
      <c r="G10" s="4" t="n"/>
      <c r="H10" s="5" t="n"/>
    </row>
    <row r="11" ht="19" customHeight="1">
      <c r="A11" s="16" t="n">
        <v>7</v>
      </c>
      <c r="B11" s="15" t="inlineStr">
        <is>
          <t>Log / ghi chú hiển thị cho khách còn chứa XPath, mã ERR_*, JSON của AI – trái quy ước log tiếng Việt thân thiện trong CLAUDE.md.</t>
        </is>
      </c>
      <c r="C11" s="4" t="n"/>
      <c r="D11" s="4" t="n"/>
      <c r="E11" s="4" t="n"/>
      <c r="F11" s="4" t="n"/>
      <c r="G11" s="4" t="n"/>
      <c r="H11" s="5" t="n"/>
    </row>
    <row r="12" ht="32" customHeight="1">
      <c r="A12" s="16" t="n">
        <v>8</v>
      </c>
      <c r="B12" s="15" t="inlineStr">
        <is>
          <t>Cấu hình auto_error có nhiều cột không có tác dụng với Facebook: error_element (XPath) không được code đọc; detail_status, counts_toward_limit, counts_toward_bad_target, update_login_status chỉ dùng cho Zalo. Bảng auto_account_error_state không còn được ghi từ 05/06/2026; chưa hành động Facebook nào từng bị khoá bởi policy (auto_account_action_status).</t>
        </is>
      </c>
      <c r="C12" s="4" t="n"/>
      <c r="D12" s="4" t="n"/>
      <c r="E12" s="4" t="n"/>
      <c r="F12" s="4" t="n"/>
      <c r="G12" s="4" t="n"/>
      <c r="H12" s="5" t="n"/>
    </row>
    <row r="14">
      <c r="A14" s="17" t="inlineStr">
        <is>
          <t>B. MÔ HÌNH XỬ LÝ ĐỀ XUẤT THEO CẤP LỖI</t>
        </is>
      </c>
    </row>
    <row r="15" ht="32" customHeight="1">
      <c r="A15" s="3" t="inlineStr">
        <is>
          <t>#</t>
        </is>
      </c>
      <c r="B15" s="3" t="inlineStr">
        <is>
          <t>Cấp lỗi</t>
        </is>
      </c>
      <c r="C15" s="3" t="inlineStr">
        <is>
          <t>Ví dụ</t>
        </is>
      </c>
      <c r="D15" s="3" t="inlineStr">
        <is>
          <t>Tài khoản Facebook</t>
        </is>
      </c>
      <c r="E15" s="3" t="inlineStr">
        <is>
          <t>Chiến dịch</t>
        </is>
      </c>
      <c r="F15" s="3" t="inlineStr">
        <is>
          <t>Hành động Facebook</t>
        </is>
      </c>
      <c r="G15" s="3" t="inlineStr">
        <is>
          <t>Target (dòng data)</t>
        </is>
      </c>
      <c r="H15" s="3" t="inlineStr">
        <is>
          <t>Lịch sử hành động</t>
        </is>
      </c>
    </row>
    <row r="16" ht="58" customHeight="1">
      <c r="A16" s="16" t="n">
        <v>1</v>
      </c>
      <c r="B16" s="14" t="inlineStr">
        <is>
          <t>Cấp tài khoản</t>
        </is>
      </c>
      <c r="C16" s="15" t="inlineStr">
        <is>
          <t>Đăng xuất, checkpoint, proxy chết, thiếu token Page, không khôi phục được danh tính.</t>
        </is>
      </c>
      <c r="D16" s="15" t="inlineStr">
        <is>
          <t>Cập nhật login_status / cờ cảnh báo; dừng toàn bộ automation; cảnh báo khách. Checkpoint: không tự đăng nhập lại liên tục; “làm nóng” sau khi gỡ.</t>
        </is>
      </c>
      <c r="E16" s="15" t="inlineStr">
        <is>
          <t>Mọi chiến dịch của tài khoản → “chờ xử lý” + note hướng dẫn; tự chạy lại khi tài khoản ổn.</t>
        </is>
      </c>
      <c r="F16" s="15" t="inlineStr">
        <is>
          <t>Khoá tất cả action code (indefinite) tới khi xử lý xong.</t>
        </is>
      </c>
      <c r="G16" s="15" t="inlineStr">
        <is>
          <t>Trả về “chờ xử lý” (không tiêu hao).</t>
        </is>
      </c>
      <c r="H16" s="15" t="inlineStr">
        <is>
          <t>Không ghi “thất bại”; ghi 1 sự kiện ở auto_account_logs.</t>
        </is>
      </c>
    </row>
    <row r="17" ht="45" customHeight="1">
      <c r="A17" s="16" t="n">
        <v>2</v>
      </c>
      <c r="B17" s="14" t="inlineStr">
        <is>
          <t>Cấp hành động</t>
        </is>
      </c>
      <c r="C17" s="15" t="inlineStr">
        <is>
          <t>Giới hạn tần suất đăng bài / comment, giới hạn tin nhắn chờ, bị chặn tính năng X.</t>
        </is>
      </c>
      <c r="D17" s="15" t="inlineStr">
        <is>
          <t>Cảnh báo + giảm hạn mức hành động đó vài ngày.</t>
        </is>
      </c>
      <c r="E17" s="15" t="inlineStr">
        <is>
          <t>Chiến dịch dùng hành động X → “chờ xử lý” + “tự chạy lại lúc HH:mm”; chiến dịch khác vẫn chạy.</t>
        </is>
      </c>
      <c r="F17" s="15" t="inlineStr">
        <is>
          <t>Khoá action code X có thời hạn tăng dần (6–12h → 24h → 72h).</t>
        </is>
      </c>
      <c r="G17" s="15" t="inlineStr">
        <is>
          <t>Trả về “chờ xử lý”.</t>
        </is>
      </c>
      <c r="H17" s="15" t="inlineStr">
        <is>
          <t>“thất bại” + error_code, tính hạn mức (đã chạm FB).</t>
        </is>
      </c>
    </row>
    <row r="18" ht="58" customHeight="1">
      <c r="A18" s="16" t="n">
        <v>3</v>
      </c>
      <c r="B18" s="14" t="inlineStr">
        <is>
          <t>Cấp target</t>
        </is>
      </c>
      <c r="C18" s="15" t="inlineStr">
        <is>
          <t>Group chưa tham gia / chỉ admin đăng, bài tắt bình luận, người nhận không nhận tin, khách không tồn tại, hội thoại quá hạn trả lời.</t>
        </is>
      </c>
      <c r="D18" s="15" t="inlineStr">
        <is>
          <t>Không tác động.</t>
        </is>
      </c>
      <c r="E18" s="15" t="inlineStr">
        <is>
          <t>Chạy tiếp target khác; không tính bộ đếm dừng chiến dịch.</t>
        </is>
      </c>
      <c r="F18" s="15" t="inlineStr">
        <is>
          <t>Không khoá.</t>
        </is>
      </c>
      <c r="G18" s="15" t="inlineStr">
        <is>
          <t>“hoàn thành” + lý do; đánh dấu để lần sau bỏ qua.</t>
        </is>
      </c>
      <c r="H18" s="15" t="inlineStr">
        <is>
          <t>“thất bại” hoặc trạng thái trung tính (“không tồn tại”, “đã là bạn bè”…) + error_code, lý do dễ hiểu.</t>
        </is>
      </c>
    </row>
    <row r="19" ht="45" customHeight="1">
      <c r="A19" s="16" t="n">
        <v>4</v>
      </c>
      <c r="B19" s="14" t="inlineStr">
        <is>
          <t>Lỗi hệ thống / tạm thời</t>
        </is>
      </c>
      <c r="C19" s="15" t="inlineStr">
        <is>
          <t>Mạng, máy ngủ, Block không tìm thấy, AI hết số dư, crash trình duyệt, lượt bị huỷ.</t>
        </is>
      </c>
      <c r="D19" s="15" t="inlineStr">
        <is>
          <t>Không tác động (trừ proxy).</t>
        </is>
      </c>
      <c r="E19" s="15" t="inlineStr">
        <is>
          <t>Không dừng vì lỗi đơn lẻ; retry backoff; lỗi diện rộng → cảnh báo admin.</t>
        </is>
      </c>
      <c r="F19" s="15" t="inlineStr">
        <is>
          <t>Không khoá.</t>
        </is>
      </c>
      <c r="G19" s="15" t="inlineStr">
        <is>
          <t>Trả về “chờ xử lý” (không tiêu hao).</t>
        </is>
      </c>
      <c r="H19" s="15" t="inlineStr">
        <is>
          <t>“lỗi” + error_code hệ thống, không tính hạn mức, không lộ chi tiết kỹ thuật.</t>
        </is>
      </c>
    </row>
    <row r="21">
      <c r="A21" s="17" t="inlineStr">
        <is>
          <t>C. QUY ƯỚC TRẠNG THÁI KẾT QUẢ ĐỀ XUẤT (auto_campaign_details.status)</t>
        </is>
      </c>
    </row>
    <row r="22" ht="32" customHeight="1">
      <c r="A22" s="3" t="inlineStr">
        <is>
          <t>#</t>
        </is>
      </c>
      <c r="B22" s="3" t="inlineStr">
        <is>
          <t>Trạng thái</t>
        </is>
      </c>
      <c r="C22" s="3" t="inlineStr">
        <is>
          <t>Khi nào dùng</t>
        </is>
      </c>
      <c r="D22" s="3" t="inlineStr">
        <is>
          <t>Tính hạn mức?</t>
        </is>
      </c>
      <c r="E22" s="3" t="inlineStr">
        <is>
          <t>Tính bộ đếm dừng chiến dịch?</t>
        </is>
      </c>
      <c r="F22" s="3" t="inlineStr">
        <is>
          <t>Target</t>
        </is>
      </c>
      <c r="G22" s="3" t="inlineStr">
        <is>
          <t>Ví dụ</t>
        </is>
      </c>
      <c r="H22" s="3" t="inlineStr">
        <is>
          <t>Ghi chú</t>
        </is>
      </c>
    </row>
    <row r="23" ht="58" customHeight="1">
      <c r="A23" s="16" t="n">
        <v>1</v>
      </c>
      <c r="B23" s="14" t="inlineStr">
        <is>
          <t>thành công</t>
        </is>
      </c>
      <c r="C23" s="15" t="inlineStr">
        <is>
          <t>Chỉ khi đã XÁC MINH hành động hoàn tất (bài đã đăng/chờ duyệt, tin đã hiện trong khung chat, nút đổi sang “Hủy lời mời”).</t>
        </is>
      </c>
      <c r="D23" s="15" t="inlineStr">
        <is>
          <t>Có</t>
        </is>
      </c>
      <c r="E23" s="15" t="inlineStr">
        <is>
          <t>Reset bộ đếm</t>
        </is>
      </c>
      <c r="F23" s="15" t="inlineStr">
        <is>
          <t>hoàn thành</t>
        </is>
      </c>
      <c r="G23" s="15" t="inlineStr">
        <is>
          <t>Đăng bài thành công vào group X</t>
        </is>
      </c>
      <c r="H23" s="15" t="inlineStr">
        <is>
          <t>Không ghi “thành công” cho lượt “bỏ qua”.</t>
        </is>
      </c>
    </row>
    <row r="24" ht="32" customHeight="1">
      <c r="A24" s="16" t="n">
        <v>2</v>
      </c>
      <c r="B24" s="14" t="inlineStr">
        <is>
          <t>thất bại</t>
        </is>
      </c>
      <c r="C24" s="15" t="inlineStr">
        <is>
          <t>Facebook từ chối / target không cho phép thực hiện (FB đã phản hồi).</t>
        </is>
      </c>
      <c r="D24" s="15" t="inlineStr">
        <is>
          <t>Có (đã chạm FB)</t>
        </is>
      </c>
      <c r="E24" s="15" t="inlineStr">
        <is>
          <t>Chỉ khi lặp trên nhiều target khác nhau</t>
        </is>
      </c>
      <c r="F24" s="15" t="inlineStr">
        <is>
          <t>hoàn thành + lý do</t>
        </is>
      </c>
      <c r="G24" s="15" t="inlineStr">
        <is>
          <t>Group chỉ admin được đăng; người nhận không nhận tin</t>
        </is>
      </c>
      <c r="H24" s="15" t="inlineStr">
        <is>
          <t>Kèm error_code cụ thể.</t>
        </is>
      </c>
    </row>
    <row r="25" ht="32" customHeight="1">
      <c r="A25" s="16" t="n">
        <v>3</v>
      </c>
      <c r="B25" s="14" t="inlineStr">
        <is>
          <t>lỗi</t>
        </is>
      </c>
      <c r="C25" s="15" t="inlineStr">
        <is>
          <t>Lỗi phần mềm / hệ thống / mạng, chưa chạm FB.</t>
        </is>
      </c>
      <c r="D25" s="15" t="inlineStr">
        <is>
          <t>Không</t>
        </is>
      </c>
      <c r="E25" s="15" t="inlineStr">
        <is>
          <t>Chỉ lỗi có khả năng lặp; tách theo loại</t>
        </is>
      </c>
      <c r="F25" s="15" t="inlineStr">
        <is>
          <t>chờ xử lý (thử lại)</t>
        </is>
      </c>
      <c r="G25" s="15" t="inlineStr">
        <is>
          <t>Block không tìm thấy; ERR_CONNECTION_RESET</t>
        </is>
      </c>
      <c r="H25" s="15" t="inlineStr">
        <is>
          <t>Không hiển thị XPath/ERR_* cho khách.</t>
        </is>
      </c>
    </row>
    <row r="26" ht="58" customHeight="1">
      <c r="A26" s="16" t="n">
        <v>4</v>
      </c>
      <c r="B26" s="14" t="inlineStr">
        <is>
          <t>không tồn tại / đã là bạn bè / đã gửi lời mời / đã tham gia / đã là thành viên</t>
        </is>
      </c>
      <c r="C26" s="15" t="inlineStr">
        <is>
          <t>Trạng thái trung tính của target.</t>
        </is>
      </c>
      <c r="D26" s="15" t="inlineStr">
        <is>
          <t>Không</t>
        </is>
      </c>
      <c r="E26" s="15" t="inlineStr">
        <is>
          <t>Không</t>
        </is>
      </c>
      <c r="F26" s="15" t="inlineStr">
        <is>
          <t>hoàn thành</t>
        </is>
      </c>
      <c r="G26" s="15" t="inlineStr">
        <is>
          <t>Khách “Người dùng Facebook”; đã là bạn bè</t>
        </is>
      </c>
      <c r="H26" s="15" t="inlineStr">
        <is>
          <t>Đã có cho inbox page, tham gia/mời group; cần thêm cho kết bạn.</t>
        </is>
      </c>
    </row>
    <row r="28">
      <c r="A28" s="17" t="inlineStr">
        <is>
          <t>D. LỘ TRÌNH ƯU TIÊN</t>
        </is>
      </c>
    </row>
    <row r="29" ht="30" customHeight="1">
      <c r="A29" s="3" t="inlineStr">
        <is>
          <t>#</t>
        </is>
      </c>
      <c r="B29" s="3" t="inlineStr">
        <is>
          <t>Ưu tiên</t>
        </is>
      </c>
      <c r="C29" s="3" t="inlineStr">
        <is>
          <t>Việc cần làm</t>
        </is>
      </c>
      <c r="D29" s="3" t="inlineStr">
        <is>
          <t>Lỗi liên quan (STT sheet 1)</t>
        </is>
      </c>
      <c r="E29" s="3" t="inlineStr">
        <is>
          <t>Tác động kỳ vọng</t>
        </is>
      </c>
      <c r="F29" s="4" t="n"/>
      <c r="G29" s="4" t="n"/>
      <c r="H29" s="5" t="n"/>
    </row>
    <row r="30" ht="84" customHeight="1">
      <c r="A30" s="16" t="n">
        <v>1</v>
      </c>
      <c r="B30" s="16" t="inlineStr">
        <is>
          <t>P0</t>
        </is>
      </c>
      <c r="C30" s="15" t="inlineStr">
        <is>
          <t>Phân loại lỗi “không thấy ô đăng bài group”: kiểm tra trạng thái group trước khi đăng; dời bước tự tham gia nhóm lên TRƯỚC bước đăng; lưu danh sách group không đăng được theo tài khoản; ghi dòng Lịch sử hành động.</t>
        </is>
      </c>
      <c r="D30" s="12" t="inlineStr">
        <is>
          <t>1, 13</t>
        </is>
      </c>
      <c r="E30" s="15" t="inlineStr">
        <is>
          <t>Giảm ~38.000 lượt “Có lỗi xảy ra”; khách thấy rõ group nào không đăng được; giảm hành vi giống spam (đăng lặp vào group không cho đăng).</t>
        </is>
      </c>
      <c r="F30" s="4" t="n"/>
      <c r="G30" s="4" t="n"/>
      <c r="H30" s="5" t="n"/>
    </row>
    <row r="31" ht="71" customHeight="1">
      <c r="A31" s="16" t="n">
        <v>2</v>
      </c>
      <c r="B31" s="16" t="inlineStr">
        <is>
          <t>P0</t>
        </is>
      </c>
      <c r="C31" s="15" t="inlineStr">
        <is>
          <t>Giới hạn tần suất (đăng bài / comment): khoá hành động ở cấp tài khoản có thời hạn tăng dần; chiến dịch “chờ xử lý” + tự chạy lại; không tiêu hao target; ghi “thất bại” + tính hạn mức.</t>
        </is>
      </c>
      <c r="D31" s="12" t="inlineStr">
        <is>
          <t>2, 8</t>
        </is>
      </c>
      <c r="E31" s="15" t="inlineStr">
        <is>
          <t>Không còn chiến dịch “tạm dừng” vô thời hạn; bảo vệ tài khoản khỏi bị phạt nặng hơn; 306 tài khoản bị ảnh hưởng.</t>
        </is>
      </c>
      <c r="F31" s="4" t="n"/>
      <c r="G31" s="4" t="n"/>
      <c r="H31" s="5" t="n"/>
    </row>
    <row r="32" ht="84" customHeight="1">
      <c r="A32" s="16" t="n">
        <v>3</v>
      </c>
      <c r="B32" s="16" t="inlineStr">
        <is>
          <t>P0</t>
        </is>
      </c>
      <c r="C32" s="15" t="inlineStr">
        <is>
          <t>Phát hiện checkpoint / chặn tính năng trong lúc chạy (kiểm tra URL checkpoint + thông báo chặn sau mỗi bước quan trọng); tách mã err_fb_checkpoint; sửa poller kiểm tra checkpoint TRƯỚC cookie c_user.</t>
        </is>
      </c>
      <c r="D32" s="12" t="inlineStr">
        <is>
          <t>3, 4, 6</t>
        </is>
      </c>
      <c r="E32" s="15" t="inlineStr">
        <is>
          <t>Dừng kịp thời tài khoản bị nghi ngờ → giảm nguy cơ khoá vĩnh viễn; thông báo đúng cho khách.</t>
        </is>
      </c>
      <c r="F32" s="4" t="n"/>
      <c r="G32" s="4" t="n"/>
      <c r="H32" s="5" t="n"/>
    </row>
    <row r="33" ht="58" customHeight="1">
      <c r="A33" s="16" t="n">
        <v>4</v>
      </c>
      <c r="B33" s="16" t="inlineStr">
        <is>
          <t>P0</t>
        </is>
      </c>
      <c r="C33" s="15" t="inlineStr">
        <is>
          <t>Inbox page: nhận diện hội thoại không trả lời được → trạng thái nghiệp vụ, không dừng chiến dịch; mở hội thoại theo PSID thay vì tìm theo tên.</t>
        </is>
      </c>
      <c r="D33" s="12" t="inlineStr">
        <is>
          <t>5, 18, 19</t>
        </is>
      </c>
      <c r="E33" s="15" t="inlineStr">
        <is>
          <t>Giảm ~9.400 lỗi và ~20.800 “không tồn tại”; chiến dịch inbox không bị dừng lặp lại.</t>
        </is>
      </c>
      <c r="F33" s="4" t="n"/>
      <c r="G33" s="4" t="n"/>
      <c r="H33" s="5" t="n"/>
    </row>
    <row r="34" ht="58" customHeight="1">
      <c r="A34" s="16" t="n">
        <v>5</v>
      </c>
      <c r="B34" s="16" t="inlineStr">
        <is>
          <t>P1</t>
        </is>
      </c>
      <c r="C34" s="15" t="inlineStr">
        <is>
          <t>Sửa fb_send_message và fb_add_friend: không nuốt lỗi, phân loại theo thông báo trên màn hình, xác minh kết quả; kích hoạt lại err_limit_waiting_message.</t>
        </is>
      </c>
      <c r="D34" s="12" t="inlineStr">
        <is>
          <t>9, 10, 11</t>
        </is>
      </c>
      <c r="E34" s="15" t="inlineStr">
        <is>
          <t>Số liệu nhắn tin / kết bạn trung thực; khoá đúng lúc khi tài khoản bị hạn chế.</t>
        </is>
      </c>
      <c r="F34" s="4" t="n"/>
      <c r="G34" s="4" t="n"/>
      <c r="H34" s="5" t="n"/>
    </row>
    <row r="35" ht="71" customHeight="1">
      <c r="A35" s="16" t="n">
        <v>6</v>
      </c>
      <c r="B35" s="16" t="inlineStr">
        <is>
          <t>P1</t>
        </is>
      </c>
      <c r="C35" s="15" t="inlineStr">
        <is>
          <t>Lỗi tạm thời / hệ thống (mạng, Block không tìm thấy, runtime, huỷ): không tiêu hao target, retry backoff, không tính bộ đếm, cảnh báo admin khi diện rộng.</t>
        </is>
      </c>
      <c r="D35" s="12" t="inlineStr">
        <is>
          <t>14, 15, 29, 30</t>
        </is>
      </c>
      <c r="E35" s="15" t="inlineStr">
        <is>
          <t>Không mất data của khách vì lỗi hạ tầng; giảm chiến dịch bị dừng oan.</t>
        </is>
      </c>
      <c r="F35" s="4" t="n"/>
      <c r="G35" s="4" t="n"/>
      <c r="H35" s="5" t="n"/>
    </row>
    <row r="36" ht="58" customHeight="1">
      <c r="A36" s="16" t="n">
        <v>7</v>
      </c>
      <c r="B36" s="16" t="inlineStr">
        <is>
          <t>P1</t>
        </is>
      </c>
      <c r="C36" s="15" t="inlineStr">
        <is>
          <t>Chuẩn hoá Lịch sử hành động: mọi thất bại đều có dòng; bỏ XPath / ERR_* / JSON khỏi log khách; mọi dòng “lỗi” / “thất bại” có error_code.</t>
        </is>
      </c>
      <c r="D36" s="12" t="inlineStr">
        <is>
          <t>1, 7, 12, 13, 21, 27</t>
        </is>
      </c>
      <c r="E36" s="15" t="inlineStr">
        <is>
          <t>Khách tự hiểu và xử lý được; thống kê lỗi theo mã chính xác.</t>
        </is>
      </c>
      <c r="F36" s="4" t="n"/>
      <c r="G36" s="4" t="n"/>
      <c r="H36" s="5" t="n"/>
    </row>
    <row r="37" ht="58" customHeight="1">
      <c r="A37" s="16" t="n">
        <v>8</v>
      </c>
      <c r="B37" s="16" t="inlineStr">
        <is>
          <t>P1</t>
        </is>
      </c>
      <c r="C37" s="15" t="inlineStr">
        <is>
          <t>Hạn mức: chỉ đếm lượt thực sự chạm FB; hiển thị “tạm nghỉ đến HH:mm”; bỏ đếm “lỗi” tham gia group; lên lịch lại theo retryAfterMs.</t>
        </is>
      </c>
      <c r="D37" s="12" t="inlineStr">
        <is>
          <t>17, 24</t>
        </is>
      </c>
      <c r="E37" s="15" t="inlineStr">
        <is>
          <t>Không hết hạn mức sớm vì lỗi kỹ thuật; khách biết khi nào chạy lại.</t>
        </is>
      </c>
      <c r="F37" s="4" t="n"/>
      <c r="G37" s="4" t="n"/>
      <c r="H37" s="5" t="n"/>
    </row>
    <row r="38" ht="45" customHeight="1">
      <c r="A38" s="16" t="n">
        <v>9</v>
      </c>
      <c r="B38" s="16" t="inlineStr">
        <is>
          <t>P1</t>
        </is>
      </c>
      <c r="C38" s="15" t="inlineStr">
        <is>
          <t>err_undefined: tách bộ đếm theo loại lỗi, reset khi khách bật lại chiến dịch, không đếm lỗi thuộc từng target.</t>
        </is>
      </c>
      <c r="D38" s="12" t="inlineStr">
        <is>
          <t>16</t>
        </is>
      </c>
      <c r="E38" s="15" t="inlineStr">
        <is>
          <t>Giảm chiến dịch bị dừng lặp lại ngay sau khi bật lại.</t>
        </is>
      </c>
      <c r="F38" s="4" t="n"/>
      <c r="G38" s="4" t="n"/>
      <c r="H38" s="5" t="n"/>
    </row>
    <row r="39" ht="45" customHeight="1">
      <c r="A39" s="16" t="n">
        <v>10</v>
      </c>
      <c r="B39" s="16" t="inlineStr">
        <is>
          <t>P2</t>
        </is>
      </c>
      <c r="C39" s="15" t="inlineStr">
        <is>
          <t>Dùng (hoặc bỏ) cột error_element; thu hẹp XPath giới hạn tần suất vào dialog / toast của FB.</t>
        </is>
      </c>
      <c r="D39" s="12" t="inlineStr">
        <is>
          <t>2, 8, 10</t>
        </is>
      </c>
      <c r="E39" s="15" t="inlineStr">
        <is>
          <t>Một nơi cấu hình; tránh báo nhầm.</t>
        </is>
      </c>
      <c r="F39" s="4" t="n"/>
      <c r="G39" s="4" t="n"/>
      <c r="H39" s="5" t="n"/>
    </row>
    <row r="40" ht="58" customHeight="1">
      <c r="A40" s="16" t="n">
        <v>11</v>
      </c>
      <c r="B40" s="16" t="inlineStr">
        <is>
          <t>P2</t>
        </is>
      </c>
      <c r="C40" s="15" t="inlineStr">
        <is>
          <t>Kiểm tra dữ liệu / cấu hình ngay khi tạo chiến dịch (link, UID, từ khóa, media); cảnh báo sự cố diện rộng (AI hết số dư, FB đổi giao diện) cho admin.</t>
        </is>
      </c>
      <c r="D40" s="12" t="inlineStr">
        <is>
          <t>22, 28, 31</t>
        </is>
      </c>
      <c r="E40" s="15" t="inlineStr">
        <is>
          <t>Chặn lỗi từ đầu; phát hiện sự cố trong vài phút thay vì vài tuần.</t>
        </is>
      </c>
      <c r="F40" s="4" t="n"/>
      <c r="G40" s="4" t="n"/>
      <c r="H40" s="5" t="n"/>
    </row>
    <row r="41" ht="32" customHeight="1">
      <c r="A41" s="16" t="n">
        <v>12</v>
      </c>
      <c r="B41" s="16" t="inlineStr">
        <is>
          <t>P2</t>
        </is>
      </c>
      <c r="C41" s="15" t="inlineStr">
        <is>
          <t>Cập nhật CLAUDE.md phần Rate limit / Recovery / error policy cho khớp code.</t>
        </is>
      </c>
      <c r="D41" s="12" t="inlineStr">
        <is>
          <t>17</t>
        </is>
      </c>
      <c r="E41" s="15" t="inlineStr">
        <is>
          <t>Tránh sửa code dựa trên mô tả sai.</t>
        </is>
      </c>
      <c r="F41" s="4" t="n"/>
      <c r="G41" s="4" t="n"/>
      <c r="H41" s="5" t="n"/>
    </row>
  </sheetData>
  <mergeCells count="23">
    <mergeCell ref="B9:H9"/>
    <mergeCell ref="B6:H6"/>
    <mergeCell ref="A1:H1"/>
    <mergeCell ref="E41:H41"/>
    <mergeCell ref="E32:H32"/>
    <mergeCell ref="B5:H5"/>
    <mergeCell ref="E37:H37"/>
    <mergeCell ref="B7:H7"/>
    <mergeCell ref="E33:H33"/>
    <mergeCell ref="E39:H39"/>
    <mergeCell ref="A2:H2"/>
    <mergeCell ref="E35:H35"/>
    <mergeCell ref="B12:H12"/>
    <mergeCell ref="E38:H38"/>
    <mergeCell ref="E29:H29"/>
    <mergeCell ref="B11:H11"/>
    <mergeCell ref="B8:H8"/>
    <mergeCell ref="E40:H40"/>
    <mergeCell ref="E31:H31"/>
    <mergeCell ref="E34:H34"/>
    <mergeCell ref="E30:H30"/>
    <mergeCell ref="B10:H10"/>
    <mergeCell ref="E36:H36"/>
  </mergeCells>
  <conditionalFormatting sqref="B30:B41">
    <cfRule type="expression" priority="1" dxfId="2">
      <formula>$B30="P0"</formula>
    </cfRule>
    <cfRule type="expression" priority="2" dxfId="4">
      <formula>$B30="P1"</formula>
    </cfRule>
    <cfRule type="expression" priority="3" dxfId="5">
      <formula>$B30="P2"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2" customWidth="1" min="3" max="3"/>
    <col width="50" customWidth="1" min="4" max="4"/>
    <col width="12" customWidth="1" min="5" max="5"/>
    <col width="13" customWidth="1" min="6" max="6"/>
    <col width="13" customWidth="1" min="7" max="7"/>
    <col width="14" customWidth="1" min="8" max="8"/>
    <col width="13" customWidth="1" min="9" max="9"/>
    <col width="13" customWidth="1" min="10" max="10"/>
    <col width="14" customWidth="1" min="11" max="11"/>
  </cols>
  <sheetData>
    <row r="1" ht="24" customHeight="1">
      <c r="A1" s="1" t="inlineStr">
        <is>
          <t>THỐNG KÊ KẾT QUẢ (LỊCH SỬ HÀNH ĐỘNG) VÀ LỊCH SỬ CHẠY CỦA CHIẾN DỊCH FACEBOOK</t>
        </is>
      </c>
    </row>
    <row r="2" ht="26" customHeight="1">
      <c r="A2" s="2" t="inlineStr">
        <is>
          <t>Số nhập tay (xanh dương) lấy từ truy vấn chỉ-đọc Supabase “akachat” ngày 28/09/2026; các cột Tổng / Tỷ lệ là công thức.</t>
        </is>
      </c>
    </row>
    <row r="4">
      <c r="A4" s="17" t="inlineStr">
        <is>
          <t>A. LỊCH SỬ HÀNH ĐỘNG – auto_campaign_details (07/04 → 28/09/2026), theo loại chiến dịch và hành động</t>
        </is>
      </c>
    </row>
    <row r="5" ht="34" customHeight="1">
      <c r="A5" s="3" t="inlineStr">
        <is>
          <t>#</t>
        </is>
      </c>
      <c r="B5" s="3" t="inlineStr">
        <is>
          <t>Loại chiến dịch</t>
        </is>
      </c>
      <c r="C5" s="3" t="inlineStr">
        <is>
          <t>Hành động</t>
        </is>
      </c>
      <c r="D5" s="3" t="inlineStr">
        <is>
          <t>Ghi chú</t>
        </is>
      </c>
      <c r="E5" s="3" t="inlineStr">
        <is>
          <t>Thành công</t>
        </is>
      </c>
      <c r="F5" s="3" t="inlineStr">
        <is>
          <t>Thất bại</t>
        </is>
      </c>
      <c r="G5" s="3" t="inlineStr">
        <is>
          <t>Lỗi</t>
        </is>
      </c>
      <c r="H5" s="3" t="inlineStr">
        <is>
          <t>Trạng thái khác</t>
        </is>
      </c>
      <c r="I5" s="3" t="inlineStr">
        <is>
          <t>Tổng</t>
        </is>
      </c>
      <c r="J5" s="3" t="inlineStr">
        <is>
          <t>Tỷ lệ thất bại + lỗi</t>
        </is>
      </c>
      <c r="K5" s="3" t="inlineStr">
        <is>
          <t>Tỷ lệ thành công</t>
        </is>
      </c>
    </row>
    <row r="6" ht="45" customHeight="1">
      <c r="A6" s="12" t="n">
        <v>1</v>
      </c>
      <c r="B6" s="14" t="inlineStr">
        <is>
          <t>Đăng bài vào group</t>
        </is>
      </c>
      <c r="C6" s="15" t="inlineStr">
        <is>
          <t>Đăng bài (fb_post_group)</t>
        </is>
      </c>
      <c r="D6" s="15" t="inlineStr">
        <is>
          <t>Chưa gồm ≈41.000 lượt lỗi trước khi đăng (không ghi vào Lịch sử hành động) – xem bảng B. Lỗi = 3.847 giới hạn tần suất + 36 lỗi khác.</t>
        </is>
      </c>
      <c r="E6" s="18" t="n">
        <v>429938</v>
      </c>
      <c r="F6" s="18" t="n">
        <v>2429</v>
      </c>
      <c r="G6" s="18" t="n">
        <v>3883</v>
      </c>
      <c r="H6" s="18" t="n">
        <v>0</v>
      </c>
      <c r="I6" s="19">
        <f>SUM(E6:H6)</f>
        <v>436250</v>
      </c>
      <c r="J6" s="20">
        <f>IFERROR((F6+G6)/I6,0)</f>
        <v>0.014468767908309456</v>
      </c>
      <c r="K6" s="20">
        <f>IFERROR(E6/I6,0)</f>
        <v>0.9855312320916906</v>
      </c>
    </row>
    <row r="7" ht="32" customHeight="1">
      <c r="A7" s="12" t="n">
        <v>2</v>
      </c>
      <c r="B7" s="14" t="inlineStr">
        <is>
          <t>Đăng bài vào group</t>
        </is>
      </c>
      <c r="C7" s="15" t="inlineStr">
        <is>
          <t>Comment sau đăng (fb_comment)</t>
        </is>
      </c>
      <c r="D7" s="15" t="inlineStr">
        <is>
          <t>Thất bại chủ yếu “không thấy ô bình luận” (≈2.015 trên bài của mình).</t>
        </is>
      </c>
      <c r="E7" s="18" t="n">
        <v>33752</v>
      </c>
      <c r="F7" s="18" t="n">
        <v>5064</v>
      </c>
      <c r="G7" s="18" t="n">
        <v>5</v>
      </c>
      <c r="H7" s="18" t="n">
        <v>0</v>
      </c>
      <c r="I7" s="19">
        <f>SUM(E7:H7)</f>
        <v>38821</v>
      </c>
      <c r="J7" s="20">
        <f>IFERROR((F7+G7)/I7,0)</f>
        <v>0.13057365858684733</v>
      </c>
      <c r="K7" s="20">
        <f>IFERROR(E7/I7,0)</f>
        <v>0.8694263414131527</v>
      </c>
    </row>
    <row r="8" ht="32" customHeight="1">
      <c r="A8" s="12" t="n">
        <v>3</v>
      </c>
      <c r="B8" s="14" t="inlineStr">
        <is>
          <t>Đăng bài vào group</t>
        </is>
      </c>
      <c r="C8" s="15" t="inlineStr">
        <is>
          <t>(bản ghi cũ 04/2026 “Lỗi thực thi”)</t>
        </is>
      </c>
      <c r="D8" s="15" t="inlineStr">
        <is>
          <t>Chưa có action_code.</t>
        </is>
      </c>
      <c r="E8" s="18" t="n">
        <v>0</v>
      </c>
      <c r="F8" s="18" t="n">
        <v>0</v>
      </c>
      <c r="G8" s="18" t="n">
        <v>31</v>
      </c>
      <c r="H8" s="18" t="n">
        <v>0</v>
      </c>
      <c r="I8" s="19">
        <f>SUM(E8:H8)</f>
        <v>31</v>
      </c>
      <c r="J8" s="20">
        <f>IFERROR((F8+G8)/I8,0)</f>
        <v>1</v>
      </c>
      <c r="K8" s="20">
        <f>IFERROR(E8/I8,0)</f>
        <v>0</v>
      </c>
    </row>
    <row r="9" ht="32" customHeight="1">
      <c r="A9" s="12" t="n">
        <v>4</v>
      </c>
      <c r="B9" s="14" t="inlineStr">
        <is>
          <t>Đăng bài trang cá nhân</t>
        </is>
      </c>
      <c r="C9" s="15" t="inlineStr">
        <is>
          <t>Đăng bài / chia sẻ (fb_post_my_profile)</t>
        </is>
      </c>
      <c r="D9" s="15" t="inlineStr">
        <is>
          <t>Lượt đăng thất bại KHÔNG được ghi dòng lịch sử.</t>
        </is>
      </c>
      <c r="E9" s="18" t="n">
        <v>5129</v>
      </c>
      <c r="F9" s="18" t="n">
        <v>0</v>
      </c>
      <c r="G9" s="18" t="n">
        <v>5</v>
      </c>
      <c r="H9" s="18" t="n">
        <v>0</v>
      </c>
      <c r="I9" s="19">
        <f>SUM(E9:H9)</f>
        <v>5134</v>
      </c>
      <c r="J9" s="20">
        <f>IFERROR((F9+G9)/I9,0)</f>
        <v>0.0009738994935722633</v>
      </c>
      <c r="K9" s="20">
        <f>IFERROR(E9/I9,0)</f>
        <v>0.9990261005064277</v>
      </c>
    </row>
    <row r="10" ht="32" customHeight="1">
      <c r="A10" s="12" t="n">
        <v>5</v>
      </c>
      <c r="B10" s="14" t="inlineStr">
        <is>
          <t>Comment seeding (group/page/profile)</t>
        </is>
      </c>
      <c r="C10" s="15" t="inlineStr">
        <is>
          <t>Comment (fb_comment)</t>
        </is>
      </c>
      <c r="D10" s="15" t="inlineStr">
        <is>
          <t>Thất bại = không thấy ô bình luận (7.234) + huỷ (34).</t>
        </is>
      </c>
      <c r="E10" s="18" t="n">
        <v>56417</v>
      </c>
      <c r="F10" s="18" t="n">
        <v>7268</v>
      </c>
      <c r="G10" s="18" t="n">
        <v>0</v>
      </c>
      <c r="H10" s="18" t="n">
        <v>0</v>
      </c>
      <c r="I10" s="19">
        <f>SUM(E10:H10)</f>
        <v>63685</v>
      </c>
      <c r="J10" s="20">
        <f>IFERROR((F10+G10)/I10,0)</f>
        <v>0.11412420507183796</v>
      </c>
      <c r="K10" s="20">
        <f>IFERROR(E10/I10,0)</f>
        <v>0.885875794928162</v>
      </c>
    </row>
    <row r="11" ht="32" customHeight="1">
      <c r="A11" s="12" t="n">
        <v>6</v>
      </c>
      <c r="B11" s="14" t="inlineStr">
        <is>
          <t>Comment seeding (bài post)</t>
        </is>
      </c>
      <c r="C11" s="15" t="inlineStr">
        <is>
          <t>Comment (fb_comment)</t>
        </is>
      </c>
      <c r="D11" s="15" t="inlineStr">
        <is>
          <t>Từ 07/2026 lỗi làm cả lượt chạy failed → không còn dòng thất bại (xem bảng B).</t>
        </is>
      </c>
      <c r="E11" s="18" t="n">
        <v>23320</v>
      </c>
      <c r="F11" s="18" t="n">
        <v>1460</v>
      </c>
      <c r="G11" s="18" t="n">
        <v>0</v>
      </c>
      <c r="H11" s="18" t="n">
        <v>0</v>
      </c>
      <c r="I11" s="19">
        <f>SUM(E11:H11)</f>
        <v>24780</v>
      </c>
      <c r="J11" s="20">
        <f>IFERROR((F11+G11)/I11,0)</f>
        <v>0.058918482647296204</v>
      </c>
      <c r="K11" s="20">
        <f>IFERROR(E11/I11,0)</f>
        <v>0.9410815173527038</v>
      </c>
    </row>
    <row r="12" ht="19" customHeight="1">
      <c r="A12" s="12" t="n">
        <v>7</v>
      </c>
      <c r="B12" s="14" t="inlineStr">
        <is>
          <t>Lướt newsfeed</t>
        </is>
      </c>
      <c r="C12" s="15" t="inlineStr">
        <is>
          <t>Like (fb_like_post)</t>
        </is>
      </c>
      <c r="D12" s="15" t="inlineStr">
        <is>
          <t>Chỉ ghi dòng thành công.</t>
        </is>
      </c>
      <c r="E12" s="18" t="n">
        <v>8795</v>
      </c>
      <c r="F12" s="18" t="n">
        <v>0</v>
      </c>
      <c r="G12" s="18" t="n">
        <v>0</v>
      </c>
      <c r="H12" s="18" t="n">
        <v>0</v>
      </c>
      <c r="I12" s="19">
        <f>SUM(E12:H12)</f>
        <v>8795</v>
      </c>
      <c r="J12" s="20">
        <f>IFERROR((F12+G12)/I12,0)</f>
        <v>0</v>
      </c>
      <c r="K12" s="20">
        <f>IFERROR(E12/I12,0)</f>
        <v>1</v>
      </c>
    </row>
    <row r="13" ht="19" customHeight="1">
      <c r="A13" s="12" t="n">
        <v>8</v>
      </c>
      <c r="B13" s="14" t="inlineStr">
        <is>
          <t>Lướt newsfeed</t>
        </is>
      </c>
      <c r="C13" s="15" t="inlineStr">
        <is>
          <t>Comment (fb_comment)</t>
        </is>
      </c>
      <c r="D13" s="15" t="inlineStr">
        <is>
          <t>Chỉ ghi dòng thành công.</t>
        </is>
      </c>
      <c r="E13" s="18" t="n">
        <v>727</v>
      </c>
      <c r="F13" s="18" t="n">
        <v>0</v>
      </c>
      <c r="G13" s="18" t="n">
        <v>0</v>
      </c>
      <c r="H13" s="18" t="n">
        <v>0</v>
      </c>
      <c r="I13" s="19">
        <f>SUM(E13:H13)</f>
        <v>727</v>
      </c>
      <c r="J13" s="20">
        <f>IFERROR((F13+G13)/I13,0)</f>
        <v>0</v>
      </c>
      <c r="K13" s="20">
        <f>IFERROR(E13/I13,0)</f>
        <v>1</v>
      </c>
    </row>
    <row r="14" ht="32" customHeight="1">
      <c r="A14" s="12" t="n">
        <v>9</v>
      </c>
      <c r="B14" s="14" t="inlineStr">
        <is>
          <t>Nhắn tin bạn bè</t>
        </is>
      </c>
      <c r="C14" s="15" t="inlineStr">
        <is>
          <t>Nhắn tin (fb_message_friend)</t>
        </is>
      </c>
      <c r="D14" s="15" t="inlineStr">
        <is>
          <t>Thất bại = không mở được ô chat.</t>
        </is>
      </c>
      <c r="E14" s="18" t="n">
        <v>3129</v>
      </c>
      <c r="F14" s="18" t="n">
        <v>531</v>
      </c>
      <c r="G14" s="18" t="n">
        <v>3</v>
      </c>
      <c r="H14" s="18" t="n">
        <v>0</v>
      </c>
      <c r="I14" s="19">
        <f>SUM(E14:H14)</f>
        <v>3663</v>
      </c>
      <c r="J14" s="20">
        <f>IFERROR((F14+G14)/I14,0)</f>
        <v>0.1457821457821458</v>
      </c>
      <c r="K14" s="20">
        <f>IFERROR(E14/I14,0)</f>
        <v>0.8542178542178542</v>
      </c>
    </row>
    <row r="15" ht="19" customHeight="1">
      <c r="A15" s="12" t="n">
        <v>10</v>
      </c>
      <c r="B15" s="14" t="inlineStr">
        <is>
          <t>Nhắn tin bạn bè</t>
        </is>
      </c>
      <c r="C15" s="15" t="inlineStr">
        <is>
          <t>Kết bạn (fb_add_friend)</t>
        </is>
      </c>
      <c r="D15" s="15" t="inlineStr"/>
      <c r="E15" s="18" t="n">
        <v>67</v>
      </c>
      <c r="F15" s="18" t="n">
        <v>5</v>
      </c>
      <c r="G15" s="18" t="n">
        <v>20</v>
      </c>
      <c r="H15" s="18" t="n">
        <v>0</v>
      </c>
      <c r="I15" s="19">
        <f>SUM(E15:H15)</f>
        <v>92</v>
      </c>
      <c r="J15" s="20">
        <f>IFERROR((F15+G15)/I15,0)</f>
        <v>0.2717391304347826</v>
      </c>
      <c r="K15" s="20">
        <f>IFERROR(E15/I15,0)</f>
        <v>0.7282608695652174</v>
      </c>
    </row>
    <row r="16" ht="32" customHeight="1">
      <c r="A16" s="12" t="n">
        <v>11</v>
      </c>
      <c r="B16" s="14" t="inlineStr">
        <is>
          <t>Nhắn tin &amp; kết bạn UID</t>
        </is>
      </c>
      <c r="C16" s="15" t="inlineStr">
        <is>
          <t>Nhắn tin (fb_message_stranger)</t>
        </is>
      </c>
      <c r="D16" s="15" t="inlineStr">
        <is>
          <t>Thất bại = không mở được ô chat (≈56%).</t>
        </is>
      </c>
      <c r="E16" s="18" t="n">
        <v>1159</v>
      </c>
      <c r="F16" s="18" t="n">
        <v>1477</v>
      </c>
      <c r="G16" s="18" t="n">
        <v>0</v>
      </c>
      <c r="H16" s="18" t="n">
        <v>0</v>
      </c>
      <c r="I16" s="19">
        <f>SUM(E16:H16)</f>
        <v>2636</v>
      </c>
      <c r="J16" s="20">
        <f>IFERROR((F16+G16)/I16,0)</f>
        <v>0.5603186646433991</v>
      </c>
      <c r="K16" s="20">
        <f>IFERROR(E16/I16,0)</f>
        <v>0.4396813353566009</v>
      </c>
    </row>
    <row r="17" ht="19" customHeight="1">
      <c r="A17" s="12" t="n">
        <v>12</v>
      </c>
      <c r="B17" s="14" t="inlineStr">
        <is>
          <t>Nhắn tin &amp; kết bạn UID</t>
        </is>
      </c>
      <c r="C17" s="15" t="inlineStr">
        <is>
          <t>Kết bạn (fb_add_friend)</t>
        </is>
      </c>
      <c r="D17" s="15" t="inlineStr">
        <is>
          <t>Thành công gồm cả dòng “Bỏ qua kết bạn” (thành công ảo).</t>
        </is>
      </c>
      <c r="E17" s="18" t="n">
        <v>55645</v>
      </c>
      <c r="F17" s="18" t="n">
        <v>8</v>
      </c>
      <c r="G17" s="18" t="n">
        <v>2</v>
      </c>
      <c r="H17" s="18" t="n">
        <v>0</v>
      </c>
      <c r="I17" s="19">
        <f>SUM(E17:H17)</f>
        <v>55655</v>
      </c>
      <c r="J17" s="20">
        <f>IFERROR((F17+G17)/I17,0)</f>
        <v>0.0001796783757074836</v>
      </c>
      <c r="K17" s="20">
        <f>IFERROR(E17/I17,0)</f>
        <v>0.9998203216242925</v>
      </c>
    </row>
    <row r="18" ht="32" customHeight="1">
      <c r="A18" s="12" t="n">
        <v>13</v>
      </c>
      <c r="B18" s="14" t="inlineStr">
        <is>
          <t>Nhắn tin khách inbox page</t>
        </is>
      </c>
      <c r="C18" s="15" t="inlineStr">
        <is>
          <t>Nhắn tin (fb_message_page_inbox_customer)</t>
        </is>
      </c>
      <c r="D18" s="15" t="inlineStr">
        <is>
          <t>Khác = “không tồn tại” (không thấy khách / sai hội thoại). Lỗi: 9.356 “không thấy ô nhập tin nhắn”.</t>
        </is>
      </c>
      <c r="E18" s="18" t="n">
        <v>120889</v>
      </c>
      <c r="F18" s="18" t="n">
        <v>639</v>
      </c>
      <c r="G18" s="18" t="n">
        <v>10737</v>
      </c>
      <c r="H18" s="18" t="n">
        <v>20814</v>
      </c>
      <c r="I18" s="19">
        <f>SUM(E18:H18)</f>
        <v>153079</v>
      </c>
      <c r="J18" s="20">
        <f>IFERROR((F18+G18)/I18,0)</f>
        <v>0.07431456960131697</v>
      </c>
      <c r="K18" s="20">
        <f>IFERROR(E18/I18,0)</f>
        <v>0.7897164209329823</v>
      </c>
    </row>
    <row r="19" ht="32" customHeight="1">
      <c r="A19" s="12" t="n">
        <v>14</v>
      </c>
      <c r="B19" s="14" t="inlineStr">
        <is>
          <t>Đăng bài lên fanpage</t>
        </is>
      </c>
      <c r="C19" s="15" t="inlineStr">
        <is>
          <t>Đăng bài fanpage (fb_post_page)</t>
        </is>
      </c>
      <c r="D19" s="15" t="inlineStr">
        <is>
          <t>Dòng “lỗi” không có error_code.</t>
        </is>
      </c>
      <c r="E19" s="18" t="n">
        <v>1202</v>
      </c>
      <c r="F19" s="18" t="n">
        <v>42</v>
      </c>
      <c r="G19" s="18" t="n">
        <v>30</v>
      </c>
      <c r="H19" s="18" t="n">
        <v>0</v>
      </c>
      <c r="I19" s="19">
        <f>SUM(E19:H19)</f>
        <v>1274</v>
      </c>
      <c r="J19" s="20">
        <f>IFERROR((F19+G19)/I19,0)</f>
        <v>0.0565149136577708</v>
      </c>
      <c r="K19" s="20">
        <f>IFERROR(E19/I19,0)</f>
        <v>0.9434850863422292</v>
      </c>
    </row>
    <row r="20" ht="32" customHeight="1">
      <c r="A20" s="12" t="n">
        <v>15</v>
      </c>
      <c r="B20" s="14" t="inlineStr">
        <is>
          <t>Tham gia group</t>
        </is>
      </c>
      <c r="C20" s="15" t="inlineStr">
        <is>
          <t>Tham gia group (fb_join_group)</t>
        </is>
      </c>
      <c r="D20" s="15" t="inlineStr">
        <is>
          <t>Khác = “đã tham gia” từ trước. Lỗi vẫn bị tính hạn mức.</t>
        </is>
      </c>
      <c r="E20" s="18" t="n">
        <v>22923</v>
      </c>
      <c r="F20" s="18" t="n">
        <v>0</v>
      </c>
      <c r="G20" s="18" t="n">
        <v>79</v>
      </c>
      <c r="H20" s="18" t="n">
        <v>26757</v>
      </c>
      <c r="I20" s="19">
        <f>SUM(E20:H20)</f>
        <v>49759</v>
      </c>
      <c r="J20" s="20">
        <f>IFERROR((F20+G20)/I20,0)</f>
        <v>0.001587652484977592</v>
      </c>
      <c r="K20" s="20">
        <f>IFERROR(E20/I20,0)</f>
        <v>0.46068047991318156</v>
      </c>
    </row>
    <row r="21" ht="32" customHeight="1">
      <c r="A21" s="12" t="n">
        <v>16</v>
      </c>
      <c r="B21" s="14" t="inlineStr">
        <is>
          <t>Mời vào group</t>
        </is>
      </c>
      <c r="C21" s="15" t="inlineStr">
        <is>
          <t>Mời vào group (fb_group_invite)</t>
        </is>
      </c>
      <c r="D21" s="15" t="inlineStr">
        <is>
          <t>Khác = đã mời trước 406 + không tồn tại 117 + đã là thành viên 39.</t>
        </is>
      </c>
      <c r="E21" s="18" t="n">
        <v>444</v>
      </c>
      <c r="F21" s="18" t="n">
        <v>0</v>
      </c>
      <c r="G21" s="18" t="n">
        <v>17</v>
      </c>
      <c r="H21" s="18" t="n">
        <v>562</v>
      </c>
      <c r="I21" s="19">
        <f>SUM(E21:H21)</f>
        <v>1023</v>
      </c>
      <c r="J21" s="20">
        <f>IFERROR((F21+G21)/I21,0)</f>
        <v>0.016617790811339198</v>
      </c>
      <c r="K21" s="20">
        <f>IFERROR(E21/I21,0)</f>
        <v>0.4340175953079179</v>
      </c>
    </row>
    <row r="22" ht="32" customHeight="1">
      <c r="A22" s="12" t="n">
        <v>17</v>
      </c>
      <c r="B22" s="14" t="inlineStr">
        <is>
          <t>Tìm kiếm data trong group</t>
        </is>
      </c>
      <c r="C22" s="15" t="inlineStr">
        <is>
          <t>Tìm data</t>
        </is>
      </c>
      <c r="D22" s="15" t="inlineStr">
        <is>
          <t>1 dòng / lượt quét; dòng lỗi không có action_code, error_code.</t>
        </is>
      </c>
      <c r="E22" s="18" t="n">
        <v>85868</v>
      </c>
      <c r="F22" s="18" t="n">
        <v>0</v>
      </c>
      <c r="G22" s="18" t="n">
        <v>703</v>
      </c>
      <c r="H22" s="18" t="n">
        <v>0</v>
      </c>
      <c r="I22" s="19">
        <f>SUM(E22:H22)</f>
        <v>86571</v>
      </c>
      <c r="J22" s="20">
        <f>IFERROR((F22+G22)/I22,0)</f>
        <v>0.008120502246710792</v>
      </c>
      <c r="K22" s="20">
        <f>IFERROR(E22/I22,0)</f>
        <v>0.9918794977532892</v>
      </c>
    </row>
    <row r="23" ht="19" customHeight="1">
      <c r="A23" s="12" t="n">
        <v>18</v>
      </c>
      <c r="B23" s="14" t="inlineStr">
        <is>
          <t>Tìm kiếm data bằng search</t>
        </is>
      </c>
      <c r="C23" s="15" t="inlineStr">
        <is>
          <t>Tìm data</t>
        </is>
      </c>
      <c r="D23" s="15" t="inlineStr">
        <is>
          <t>AI hết số dư chiếm 151 / 246 lỗi.</t>
        </is>
      </c>
      <c r="E23" s="18" t="n">
        <v>4588</v>
      </c>
      <c r="F23" s="18" t="n">
        <v>0</v>
      </c>
      <c r="G23" s="18" t="n">
        <v>246</v>
      </c>
      <c r="H23" s="18" t="n">
        <v>0</v>
      </c>
      <c r="I23" s="19">
        <f>SUM(E23:H23)</f>
        <v>4834</v>
      </c>
      <c r="J23" s="20">
        <f>IFERROR((F23+G23)/I23,0)</f>
        <v>0.050889532478278855</v>
      </c>
      <c r="K23" s="20">
        <f>IFERROR(E23/I23,0)</f>
        <v>0.9491104675217211</v>
      </c>
    </row>
    <row r="24">
      <c r="A24" s="21" t="n"/>
      <c r="B24" s="22" t="inlineStr">
        <is>
          <t>TỔNG</t>
        </is>
      </c>
      <c r="C24" s="21" t="n"/>
      <c r="D24" s="21" t="n"/>
      <c r="E24" s="23">
        <f>SUM(E6:E23)</f>
        <v>853992</v>
      </c>
      <c r="F24" s="23">
        <f>SUM(F6:F23)</f>
        <v>18923</v>
      </c>
      <c r="G24" s="23">
        <f>SUM(G6:G23)</f>
        <v>15761</v>
      </c>
      <c r="H24" s="23">
        <f>SUM(H6:H23)</f>
        <v>48133</v>
      </c>
      <c r="I24" s="23">
        <f>SUM(I6:I23)</f>
        <v>936809</v>
      </c>
      <c r="J24" s="24">
        <f>IFERROR((F24+G24)/I24,0)</f>
        <v>0.037023555495303735</v>
      </c>
      <c r="K24" s="24">
        <f>IFERROR(E24/I24,0)</f>
        <v>0.9115967075465756</v>
      </c>
    </row>
    <row r="25">
      <c r="B25" s="25" t="inlineStr">
        <is>
          <t>Ghi chú: gộp cả bản ghi cũ tháng 4–5/2026 chưa có action_code vào hành động tương ứng; không lọc cờ is_delete (chênh lệch không đáng kể).</t>
        </is>
      </c>
    </row>
    <row r="27">
      <c r="A27" s="17" t="inlineStr">
        <is>
          <t>B. LỊCH SỬ CHẠY – auto_runs (status = failed), 13 workflow Facebook, 07/05 → 28/09/2026 (các nhóm lỗi ≥ 5 lượt)</t>
        </is>
      </c>
    </row>
    <row r="28" ht="34" customHeight="1">
      <c r="A28" s="3" t="inlineStr">
        <is>
          <t>#</t>
        </is>
      </c>
      <c r="B28" s="3" t="inlineStr">
        <is>
          <t>Workflow / chiến dịch</t>
        </is>
      </c>
      <c r="C28" s="3" t="inlineStr">
        <is>
          <t>Thuộc lỗi (STT sheet 1)</t>
        </is>
      </c>
      <c r="D28" s="3" t="inlineStr">
        <is>
          <t>Nội dung lỗi (rút gọn)</t>
        </is>
      </c>
      <c r="E28" s="3" t="inlineStr">
        <is>
          <t>Số lượt lỗi</t>
        </is>
      </c>
      <c r="F28" s="3" t="inlineStr">
        <is>
          <t>Số chiến dịch</t>
        </is>
      </c>
      <c r="G28" s="3" t="inlineStr">
        <is>
          <t>Số tài khoản</t>
        </is>
      </c>
      <c r="H28" s="3" t="inlineStr">
        <is>
          <t>Từ ngày</t>
        </is>
      </c>
      <c r="I28" s="3" t="inlineStr">
        <is>
          <t>Đến ngày</t>
        </is>
      </c>
      <c r="J28" s="3" t="inlineStr">
        <is>
          <t>% trên tổng lượt lỗi</t>
        </is>
      </c>
      <c r="K28" s="3" t="inlineStr"/>
    </row>
    <row r="29" ht="32" customHeight="1">
      <c r="A29" s="12" t="n">
        <v>1</v>
      </c>
      <c r="B29" s="15" t="inlineStr">
        <is>
          <t>Đăng bài vào group (wf 1)</t>
        </is>
      </c>
      <c r="C29" s="12" t="n">
        <v>1</v>
      </c>
      <c r="D29" s="15" t="inlineStr">
        <is>
          <t>Không thấy ô “Bạn viết gì đi / đang nghĩ gì” (waitForSelector timeout fb_composer_button)</t>
        </is>
      </c>
      <c r="E29" s="18" t="n">
        <v>37949</v>
      </c>
      <c r="F29" s="18" t="n">
        <v>4461</v>
      </c>
      <c r="G29" s="18" t="n">
        <v>702</v>
      </c>
      <c r="H29" s="26" t="n">
        <v>46157</v>
      </c>
      <c r="I29" s="26" t="n">
        <v>46293</v>
      </c>
      <c r="J29" s="20">
        <f>IFERROR(E29/$E$89,0)</f>
        <v>0.6141708071015877</v>
      </c>
    </row>
    <row r="30" ht="32" customHeight="1">
      <c r="A30" s="12" t="n">
        <v>2</v>
      </c>
      <c r="B30" s="15" t="inlineStr">
        <is>
          <t>Nhắn tin khách inbox page (wf 227)</t>
        </is>
      </c>
      <c r="C30" s="12" t="n">
        <v>5</v>
      </c>
      <c r="D30" s="15" t="inlineStr">
        <is>
          <t>Không tìm thấy ô để nhập tin nhắn</t>
        </is>
      </c>
      <c r="E30" s="18" t="n">
        <v>9358</v>
      </c>
      <c r="F30" s="18" t="n">
        <v>158</v>
      </c>
      <c r="G30" s="18" t="n">
        <v>40</v>
      </c>
      <c r="H30" s="26" t="n">
        <v>46175</v>
      </c>
      <c r="I30" s="26" t="n">
        <v>46293</v>
      </c>
      <c r="J30" s="20">
        <f>IFERROR(E30/$E$89,0)</f>
        <v>0.15145090550097914</v>
      </c>
    </row>
    <row r="31" ht="32" customHeight="1">
      <c r="A31" s="12" t="n">
        <v>3</v>
      </c>
      <c r="B31" s="15" t="inlineStr">
        <is>
          <t>Comment seeding (bài post) (wf 207)</t>
        </is>
      </c>
      <c r="C31" s="12" t="n">
        <v>7</v>
      </c>
      <c r="D31" s="15" t="inlineStr">
        <is>
          <t>Không thấy ô bình luận trong dialog (waitForSelector timeout textbox “Bình luận”)</t>
        </is>
      </c>
      <c r="E31" s="18" t="n">
        <v>4641</v>
      </c>
      <c r="F31" s="18" t="n">
        <v>706</v>
      </c>
      <c r="G31" s="18" t="n">
        <v>185</v>
      </c>
      <c r="H31" s="26" t="n">
        <v>46160</v>
      </c>
      <c r="I31" s="26" t="n">
        <v>46293</v>
      </c>
      <c r="J31" s="20">
        <f>IFERROR(E31/$E$89,0)</f>
        <v>0.07511045655375552</v>
      </c>
    </row>
    <row r="32" ht="19" customHeight="1">
      <c r="A32" s="12" t="n">
        <v>4</v>
      </c>
      <c r="B32" s="15" t="inlineStr">
        <is>
          <t>Đăng bài vào group (wf 1)</t>
        </is>
      </c>
      <c r="C32" s="12" t="n">
        <v>2</v>
      </c>
      <c r="D32" s="15" t="inlineStr">
        <is>
          <t>Facebook báo giới hạn tần suất bạn đăng bài</t>
        </is>
      </c>
      <c r="E32" s="18" t="n">
        <v>3842</v>
      </c>
      <c r="F32" s="18" t="n">
        <v>1297</v>
      </c>
      <c r="G32" s="18" t="n">
        <v>306</v>
      </c>
      <c r="H32" s="26" t="n">
        <v>46179</v>
      </c>
      <c r="I32" s="26" t="n">
        <v>46293</v>
      </c>
      <c r="J32" s="20">
        <f>IFERROR(E32/$E$89,0)</f>
        <v>0.06217935231190018</v>
      </c>
    </row>
    <row r="33" ht="32" customHeight="1">
      <c r="A33" s="12" t="n">
        <v>5</v>
      </c>
      <c r="B33" s="15" t="inlineStr">
        <is>
          <t>Đăng bài vào group (wf 1)</t>
        </is>
      </c>
      <c r="C33" s="12" t="n">
        <v>13</v>
      </c>
      <c r="D33" s="15" t="inlineStr">
        <is>
          <t>Form đăng bài không mở (waitForSelector timeout fb_composer_dialog)</t>
        </is>
      </c>
      <c r="E33" s="18" t="n">
        <v>1919</v>
      </c>
      <c r="F33" s="18" t="n">
        <v>679</v>
      </c>
      <c r="G33" s="18" t="n">
        <v>330</v>
      </c>
      <c r="H33" s="26" t="n">
        <v>46163</v>
      </c>
      <c r="I33" s="26" t="n">
        <v>46293</v>
      </c>
      <c r="J33" s="20">
        <f>IFERROR(E33/$E$89,0)</f>
        <v>0.031057307935069348</v>
      </c>
    </row>
    <row r="34" ht="32" customHeight="1">
      <c r="A34" s="12" t="n">
        <v>6</v>
      </c>
      <c r="B34" s="15" t="inlineStr">
        <is>
          <t>Nhắn tin khách inbox page (wf 227)</t>
        </is>
      </c>
      <c r="C34" s="12" t="n">
        <v>19</v>
      </c>
      <c r="D34" s="15" t="inlineStr">
        <is>
          <t>Lỗi khi nhập tên vào ô tìm kiếm</t>
        </is>
      </c>
      <c r="E34" s="18" t="n">
        <v>1014</v>
      </c>
      <c r="F34" s="18" t="n">
        <v>55</v>
      </c>
      <c r="G34" s="18" t="n">
        <v>22</v>
      </c>
      <c r="H34" s="26" t="n">
        <v>46176</v>
      </c>
      <c r="I34" s="26" t="n">
        <v>46273</v>
      </c>
      <c r="J34" s="20">
        <f>IFERROR(E34/$E$89,0)</f>
        <v>0.01641068798653482</v>
      </c>
    </row>
    <row r="35" ht="19" customHeight="1">
      <c r="A35" s="12" t="n">
        <v>7</v>
      </c>
      <c r="B35" s="15" t="inlineStr">
        <is>
          <t>Đăng bài vào group (wf 1)</t>
        </is>
      </c>
      <c r="C35" s="12" t="n">
        <v>14</v>
      </c>
      <c r="D35" s="15" t="inlineStr">
        <is>
          <t>Lỗi mạng khi tải trang (ERR_*)</t>
        </is>
      </c>
      <c r="E35" s="18" t="n">
        <v>683</v>
      </c>
      <c r="F35" s="18" t="n">
        <v>283</v>
      </c>
      <c r="G35" s="18" t="n">
        <v>148</v>
      </c>
      <c r="H35" s="26" t="n">
        <v>46152</v>
      </c>
      <c r="I35" s="26" t="n">
        <v>46293</v>
      </c>
      <c r="J35" s="20">
        <f>IFERROR(E35/$E$89,0)</f>
        <v>0.011053747430772467</v>
      </c>
    </row>
    <row r="36" ht="19" customHeight="1">
      <c r="A36" s="12" t="n">
        <v>8</v>
      </c>
      <c r="B36" s="15" t="inlineStr">
        <is>
          <t>Đăng bài vào group (wf 1)</t>
        </is>
      </c>
      <c r="C36" s="12" t="n">
        <v>15</v>
      </c>
      <c r="D36" s="15" t="inlineStr">
        <is>
          <t>Block không tìm thấy</t>
        </is>
      </c>
      <c r="E36" s="18" t="n">
        <v>301</v>
      </c>
      <c r="F36" s="18" t="n">
        <v>208</v>
      </c>
      <c r="G36" s="18" t="n">
        <v>142</v>
      </c>
      <c r="H36" s="26" t="n">
        <v>46177</v>
      </c>
      <c r="I36" s="26" t="n">
        <v>46293</v>
      </c>
      <c r="J36" s="20">
        <f>IFERROR(E36/$E$89,0)</f>
        <v>0.004871417242551263</v>
      </c>
    </row>
    <row r="37" ht="19" customHeight="1">
      <c r="A37" s="12" t="n">
        <v>9</v>
      </c>
      <c r="B37" s="15" t="inlineStr">
        <is>
          <t>Đăng bài trang cá nhân (wf 2)</t>
        </is>
      </c>
      <c r="C37" s="12" t="n">
        <v>21</v>
      </c>
      <c r="D37" s="15" t="inlineStr">
        <is>
          <t>Không thấy nút Đăng/Post trong dialog</t>
        </is>
      </c>
      <c r="E37" s="18" t="n">
        <v>244</v>
      </c>
      <c r="F37" s="18" t="n">
        <v>223</v>
      </c>
      <c r="G37" s="18" t="n">
        <v>55</v>
      </c>
      <c r="H37" s="26" t="n">
        <v>46155</v>
      </c>
      <c r="I37" s="26" t="n">
        <v>46291</v>
      </c>
      <c r="J37" s="20">
        <f>IFERROR(E37/$E$89,0)</f>
        <v>0.0039489229474501935</v>
      </c>
    </row>
    <row r="38" ht="32" customHeight="1">
      <c r="A38" s="12" t="n">
        <v>10</v>
      </c>
      <c r="B38" s="15" t="inlineStr">
        <is>
          <t>Tìm kiếm data bằng search (wf 239)</t>
        </is>
      </c>
      <c r="C38" s="12" t="n">
        <v>28</v>
      </c>
      <c r="D38" s="15" t="inlineStr">
        <is>
          <t>AI trả về lỗi: Insufficient Balance</t>
        </is>
      </c>
      <c r="E38" s="18" t="n">
        <v>151</v>
      </c>
      <c r="F38" s="18" t="n">
        <v>10</v>
      </c>
      <c r="G38" s="18" t="n">
        <v>8</v>
      </c>
      <c r="H38" s="26" t="n">
        <v>46215</v>
      </c>
      <c r="I38" s="26" t="n">
        <v>46272</v>
      </c>
      <c r="J38" s="20">
        <f>IFERROR(E38/$E$89,0)</f>
        <v>0.0024438006764958163</v>
      </c>
    </row>
    <row r="39" ht="19" customHeight="1">
      <c r="A39" s="12" t="n">
        <v>11</v>
      </c>
      <c r="B39" s="15" t="inlineStr">
        <is>
          <t>Đăng bài vào group (wf 1)</t>
        </is>
      </c>
      <c r="C39" s="12" t="n">
        <v>22</v>
      </c>
      <c r="D39" s="15" t="inlineStr">
        <is>
          <t>Cần đúng 1 input file trong form đăng bài, tìm thấy 0</t>
        </is>
      </c>
      <c r="E39" s="18" t="n">
        <v>148</v>
      </c>
      <c r="F39" s="18" t="n">
        <v>25</v>
      </c>
      <c r="G39" s="18" t="n">
        <v>13</v>
      </c>
      <c r="H39" s="26" t="n">
        <v>46286</v>
      </c>
      <c r="I39" s="26" t="n">
        <v>46286</v>
      </c>
      <c r="J39" s="20">
        <f>IFERROR(E39/$E$89,0)</f>
        <v>0.0023952483451747074</v>
      </c>
    </row>
    <row r="40" ht="32" customHeight="1">
      <c r="A40" s="12" t="n">
        <v>12</v>
      </c>
      <c r="B40" s="15" t="inlineStr">
        <is>
          <t>Comment seeding (bài post) (wf 207)</t>
        </is>
      </c>
      <c r="C40" s="12" t="n">
        <v>31</v>
      </c>
      <c r="D40" s="15" t="inlineStr">
        <is>
          <t>fb_resolve_url: missing input (dòng data trống)</t>
        </is>
      </c>
      <c r="E40" s="18" t="n">
        <v>146</v>
      </c>
      <c r="F40" s="18" t="n">
        <v>143</v>
      </c>
      <c r="G40" s="18" t="n">
        <v>42</v>
      </c>
      <c r="H40" s="26" t="n">
        <v>46181</v>
      </c>
      <c r="I40" s="26" t="n">
        <v>46292</v>
      </c>
      <c r="J40" s="20">
        <f>IFERROR(E40/$E$89,0)</f>
        <v>0.0023628801242939683</v>
      </c>
    </row>
    <row r="41" ht="32" customHeight="1">
      <c r="A41" s="12" t="n">
        <v>13</v>
      </c>
      <c r="B41" s="15" t="inlineStr">
        <is>
          <t>Tìm kiếm data trong group (wf 206)</t>
        </is>
      </c>
      <c r="C41" s="12" t="n">
        <v>14</v>
      </c>
      <c r="D41" s="15" t="inlineStr">
        <is>
          <t>Lỗi mạng khi tải trang (ERR_*)</t>
        </is>
      </c>
      <c r="E41" s="18" t="n">
        <v>144</v>
      </c>
      <c r="F41" s="18" t="n">
        <v>31</v>
      </c>
      <c r="G41" s="18" t="n">
        <v>21</v>
      </c>
      <c r="H41" s="26" t="n">
        <v>46149</v>
      </c>
      <c r="I41" s="26" t="n">
        <v>46289</v>
      </c>
      <c r="J41" s="20">
        <f>IFERROR(E41/$E$89,0)</f>
        <v>0.0023305119034132287</v>
      </c>
    </row>
    <row r="42" ht="19" customHeight="1">
      <c r="A42" s="12" t="n">
        <v>14</v>
      </c>
      <c r="B42" s="15" t="inlineStr">
        <is>
          <t>Nhắn tin &amp; kết bạn UID (wf 208)</t>
        </is>
      </c>
      <c r="C42" s="12" t="n">
        <v>14</v>
      </c>
      <c r="D42" s="15" t="inlineStr">
        <is>
          <t>Lỗi mạng khi tải trang (ERR_*)</t>
        </is>
      </c>
      <c r="E42" s="18" t="n">
        <v>105</v>
      </c>
      <c r="F42" s="18" t="n">
        <v>55</v>
      </c>
      <c r="G42" s="18" t="n">
        <v>53</v>
      </c>
      <c r="H42" s="26" t="n">
        <v>46167</v>
      </c>
      <c r="I42" s="26" t="n">
        <v>46287</v>
      </c>
      <c r="J42" s="20">
        <f>IFERROR(E42/$E$89,0)</f>
        <v>0.0016993315962388128</v>
      </c>
    </row>
    <row r="43" ht="32" customHeight="1">
      <c r="A43" s="12" t="n">
        <v>15</v>
      </c>
      <c r="B43" s="15" t="inlineStr">
        <is>
          <t>Tìm kiếm data trong group (wf 206)</t>
        </is>
      </c>
      <c r="C43" s="12" t="n">
        <v>28</v>
      </c>
      <c r="D43" s="15" t="inlineStr">
        <is>
          <t>AI trả về lỗi: Insufficient Balance</t>
        </is>
      </c>
      <c r="E43" s="18" t="n">
        <v>99</v>
      </c>
      <c r="F43" s="18" t="n">
        <v>10</v>
      </c>
      <c r="G43" s="18" t="n">
        <v>10</v>
      </c>
      <c r="H43" s="26" t="n">
        <v>46217</v>
      </c>
      <c r="I43" s="26" t="n">
        <v>46275</v>
      </c>
      <c r="J43" s="20">
        <f>IFERROR(E43/$E$89,0)</f>
        <v>0.0016022269335965948</v>
      </c>
    </row>
    <row r="44" ht="32" customHeight="1">
      <c r="A44" s="12" t="n">
        <v>16</v>
      </c>
      <c r="B44" s="15" t="inlineStr">
        <is>
          <t>Nhắn tin khách inbox page (wf 227)</t>
        </is>
      </c>
      <c r="C44" s="12" t="n">
        <v>19</v>
      </c>
      <c r="D44" s="15" t="inlineStr">
        <is>
          <t>Không đọc được tên khách trong inbox page để xác minh người nhận</t>
        </is>
      </c>
      <c r="E44" s="18" t="n">
        <v>96</v>
      </c>
      <c r="F44" s="18" t="n">
        <v>15</v>
      </c>
      <c r="G44" s="18" t="n">
        <v>14</v>
      </c>
      <c r="H44" s="26" t="n">
        <v>46273</v>
      </c>
      <c r="I44" s="26" t="n">
        <v>46290</v>
      </c>
      <c r="J44" s="20">
        <f>IFERROR(E44/$E$89,0)</f>
        <v>0.0015536746022754859</v>
      </c>
    </row>
    <row r="45" ht="19" customHeight="1">
      <c r="A45" s="12" t="n">
        <v>17</v>
      </c>
      <c r="B45" s="15" t="inlineStr">
        <is>
          <t>Đăng bài trang cá nhân (wf 2)</t>
        </is>
      </c>
      <c r="C45" s="12" t="n">
        <v>13</v>
      </c>
      <c r="D45" s="15" t="inlineStr">
        <is>
          <t>Form đăng bài không mở (fb_composer_dialog)</t>
        </is>
      </c>
      <c r="E45" s="18" t="n">
        <v>81</v>
      </c>
      <c r="F45" s="18" t="n">
        <v>63</v>
      </c>
      <c r="G45" s="18" t="n">
        <v>35</v>
      </c>
      <c r="H45" s="26" t="n">
        <v>46156</v>
      </c>
      <c r="I45" s="26" t="n">
        <v>46288</v>
      </c>
      <c r="J45" s="20">
        <f>IFERROR(E45/$E$89,0)</f>
        <v>0.0013109129456699412</v>
      </c>
    </row>
    <row r="46" ht="19" customHeight="1">
      <c r="A46" s="12" t="n">
        <v>18</v>
      </c>
      <c r="B46" s="15" t="inlineStr">
        <is>
          <t>Đăng bài trang cá nhân (wf 2)</t>
        </is>
      </c>
      <c r="C46" s="12" t="n">
        <v>1</v>
      </c>
      <c r="D46" s="15" t="inlineStr">
        <is>
          <t>Không thấy ô “Bạn đang nghĩ gì”</t>
        </is>
      </c>
      <c r="E46" s="18" t="n">
        <v>68</v>
      </c>
      <c r="F46" s="18" t="n">
        <v>64</v>
      </c>
      <c r="G46" s="18" t="n">
        <v>10</v>
      </c>
      <c r="H46" s="26" t="n">
        <v>46253</v>
      </c>
      <c r="I46" s="26" t="n">
        <v>46288</v>
      </c>
      <c r="J46" s="20">
        <f>IFERROR(E46/$E$89,0)</f>
        <v>0.001100519509945136</v>
      </c>
    </row>
    <row r="47" ht="32" customHeight="1">
      <c r="A47" s="12" t="n">
        <v>19</v>
      </c>
      <c r="B47" s="15" t="inlineStr">
        <is>
          <t>Nhắn tin khách inbox page (wf 227)</t>
        </is>
      </c>
      <c r="C47" s="12" t="n">
        <v>19</v>
      </c>
      <c r="D47" s="15" t="inlineStr">
        <is>
          <t>Không thể xoá tìm kiếm trong inbox page trước khi gửi tin nhắn</t>
        </is>
      </c>
      <c r="E47" s="18" t="n">
        <v>60</v>
      </c>
      <c r="F47" s="18" t="n">
        <v>29</v>
      </c>
      <c r="G47" s="18" t="n">
        <v>18</v>
      </c>
      <c r="H47" s="26" t="n">
        <v>46273</v>
      </c>
      <c r="I47" s="26" t="n">
        <v>46292</v>
      </c>
      <c r="J47" s="20">
        <f>IFERROR(E47/$E$89,0)</f>
        <v>0.0009710466264221787</v>
      </c>
    </row>
    <row r="48" ht="19" customHeight="1">
      <c r="A48" s="12" t="n">
        <v>20</v>
      </c>
      <c r="B48" s="15" t="inlineStr">
        <is>
          <t>Đăng bài vào group (wf 1)</t>
        </is>
      </c>
      <c r="C48" s="12" t="n">
        <v>7</v>
      </c>
      <c r="D48" s="15" t="inlineStr">
        <is>
          <t>Không thấy ô bình luận trong dialog (giai đoạn đầu)</t>
        </is>
      </c>
      <c r="E48" s="18" t="n">
        <v>56</v>
      </c>
      <c r="F48" s="18" t="n">
        <v>16</v>
      </c>
      <c r="G48" s="18" t="n">
        <v>15</v>
      </c>
      <c r="H48" s="26" t="n">
        <v>46157</v>
      </c>
      <c r="I48" s="26" t="n">
        <v>46177</v>
      </c>
      <c r="J48" s="20">
        <f>IFERROR(E48/$E$89,0)</f>
        <v>0.0009063101846607002</v>
      </c>
    </row>
    <row r="49" ht="32" customHeight="1">
      <c r="A49" s="12" t="n">
        <v>21</v>
      </c>
      <c r="B49" s="15" t="inlineStr">
        <is>
          <t>Tìm kiếm data trong group (wf 206)</t>
        </is>
      </c>
      <c r="C49" s="12" t="n">
        <v>28</v>
      </c>
      <c r="D49" s="15" t="inlineStr">
        <is>
          <t>The operation was aborted due to timeout</t>
        </is>
      </c>
      <c r="E49" s="18" t="n">
        <v>56</v>
      </c>
      <c r="F49" s="18" t="n">
        <v>6</v>
      </c>
      <c r="G49" s="18" t="n">
        <v>2</v>
      </c>
      <c r="H49" s="26" t="n">
        <v>46219</v>
      </c>
      <c r="I49" s="26" t="n">
        <v>46233</v>
      </c>
      <c r="J49" s="20">
        <f>IFERROR(E49/$E$89,0)</f>
        <v>0.0009063101846607002</v>
      </c>
    </row>
    <row r="50" ht="32" customHeight="1">
      <c r="A50" s="12" t="n">
        <v>22</v>
      </c>
      <c r="B50" s="15" t="inlineStr">
        <is>
          <t>Comment seeding (group/page/profile) (wf 157)</t>
        </is>
      </c>
      <c r="C50" s="12" t="n">
        <v>14</v>
      </c>
      <c r="D50" s="15" t="inlineStr">
        <is>
          <t>Lỗi mạng khi tải trang (ERR_*)</t>
        </is>
      </c>
      <c r="E50" s="18" t="n">
        <v>49</v>
      </c>
      <c r="F50" s="18" t="n">
        <v>27</v>
      </c>
      <c r="G50" s="18" t="n">
        <v>24</v>
      </c>
      <c r="H50" s="26" t="n">
        <v>46149</v>
      </c>
      <c r="I50" s="26" t="n">
        <v>46291</v>
      </c>
      <c r="J50" s="20">
        <f>IFERROR(E50/$E$89,0)</f>
        <v>0.0007930214115781126</v>
      </c>
    </row>
    <row r="51" ht="19" customHeight="1">
      <c r="A51" s="12" t="n">
        <v>23</v>
      </c>
      <c r="B51" s="15" t="inlineStr">
        <is>
          <t>Đăng bài trang cá nhân (wf 2)</t>
        </is>
      </c>
      <c r="C51" s="12" t="n">
        <v>14</v>
      </c>
      <c r="D51" s="15" t="inlineStr">
        <is>
          <t>Lỗi mạng khi tải trang (ERR_*)</t>
        </is>
      </c>
      <c r="E51" s="18" t="n">
        <v>48</v>
      </c>
      <c r="F51" s="18" t="n">
        <v>47</v>
      </c>
      <c r="G51" s="18" t="n">
        <v>27</v>
      </c>
      <c r="H51" s="26" t="n">
        <v>46226</v>
      </c>
      <c r="I51" s="26" t="n">
        <v>46287</v>
      </c>
      <c r="J51" s="20">
        <f>IFERROR(E51/$E$89,0)</f>
        <v>0.0007768373011377429</v>
      </c>
    </row>
    <row r="52" ht="32" customHeight="1">
      <c r="A52" s="12" t="n">
        <v>24</v>
      </c>
      <c r="B52" s="15" t="inlineStr">
        <is>
          <t>Comment seeding (bài post) (wf 207)</t>
        </is>
      </c>
      <c r="C52" s="12" t="n">
        <v>14</v>
      </c>
      <c r="D52" s="15" t="inlineStr">
        <is>
          <t>Lỗi mạng khi tải trang (ERR_*)</t>
        </is>
      </c>
      <c r="E52" s="18" t="n">
        <v>45</v>
      </c>
      <c r="F52" s="18" t="n">
        <v>23</v>
      </c>
      <c r="G52" s="18" t="n">
        <v>18</v>
      </c>
      <c r="H52" s="26" t="n">
        <v>46157</v>
      </c>
      <c r="I52" s="26" t="n">
        <v>46291</v>
      </c>
      <c r="J52" s="20">
        <f>IFERROR(E52/$E$89,0)</f>
        <v>0.0007282849698166341</v>
      </c>
    </row>
    <row r="53" ht="19" customHeight="1">
      <c r="A53" s="12" t="n">
        <v>25</v>
      </c>
      <c r="B53" s="15" t="inlineStr">
        <is>
          <t>Đăng bài vào group (wf 1)</t>
        </is>
      </c>
      <c r="C53" s="12" t="n">
        <v>22</v>
      </c>
      <c r="D53" s="15" t="inlineStr">
        <is>
          <t>Facebook không nhận nội dung HTML đã paste</t>
        </is>
      </c>
      <c r="E53" s="18" t="n">
        <v>34</v>
      </c>
      <c r="F53" s="18" t="n">
        <v>9</v>
      </c>
      <c r="G53" s="18" t="n">
        <v>8</v>
      </c>
      <c r="H53" s="26" t="n">
        <v>46248</v>
      </c>
      <c r="I53" s="26" t="n">
        <v>46286</v>
      </c>
      <c r="J53" s="20">
        <f>IFERROR(E53/$E$89,0)</f>
        <v>0.000550259754972568</v>
      </c>
    </row>
    <row r="54" ht="32" customHeight="1">
      <c r="A54" s="12" t="n">
        <v>26</v>
      </c>
      <c r="B54" s="15" t="inlineStr">
        <is>
          <t>Comment seeding (group/page/profile) (wf 157)</t>
        </is>
      </c>
      <c r="C54" s="12" t="n">
        <v>15</v>
      </c>
      <c r="D54" s="15" t="inlineStr">
        <is>
          <t>Block không tìm thấy</t>
        </is>
      </c>
      <c r="E54" s="18" t="n">
        <v>28</v>
      </c>
      <c r="F54" s="18" t="n">
        <v>15</v>
      </c>
      <c r="G54" s="18" t="n">
        <v>12</v>
      </c>
      <c r="H54" s="26" t="n">
        <v>46273</v>
      </c>
      <c r="I54" s="26" t="n">
        <v>46291</v>
      </c>
      <c r="J54" s="20">
        <f>IFERROR(E54/$E$89,0)</f>
        <v>0.0004531550923303501</v>
      </c>
    </row>
    <row r="55" ht="32" customHeight="1">
      <c r="A55" s="12" t="n">
        <v>27</v>
      </c>
      <c r="B55" s="15" t="inlineStr">
        <is>
          <t>Comment seeding (group/page/profile) (wf 157)</t>
        </is>
      </c>
      <c r="C55" s="12" t="n">
        <v>8</v>
      </c>
      <c r="D55" s="15" t="inlineStr">
        <is>
          <t>Facebook báo giới hạn tần suất comment</t>
        </is>
      </c>
      <c r="E55" s="18" t="n">
        <v>28</v>
      </c>
      <c r="F55" s="18" t="n">
        <v>16</v>
      </c>
      <c r="G55" s="18" t="n">
        <v>13</v>
      </c>
      <c r="H55" s="26" t="n">
        <v>46204</v>
      </c>
      <c r="I55" s="26" t="n">
        <v>46291</v>
      </c>
      <c r="J55" s="20">
        <f>IFERROR(E55/$E$89,0)</f>
        <v>0.0004531550923303501</v>
      </c>
    </row>
    <row r="56" ht="32" customHeight="1">
      <c r="A56" s="12" t="n">
        <v>28</v>
      </c>
      <c r="B56" s="15" t="inlineStr">
        <is>
          <t>Tìm kiếm data bằng search (wf 239)</t>
        </is>
      </c>
      <c r="C56" s="12" t="n">
        <v>31</v>
      </c>
      <c r="D56" s="15" t="inlineStr">
        <is>
          <t>Thiếu từ khóa search</t>
        </is>
      </c>
      <c r="E56" s="18" t="n">
        <v>24</v>
      </c>
      <c r="F56" s="18" t="n">
        <v>24</v>
      </c>
      <c r="G56" s="18" t="n">
        <v>17</v>
      </c>
      <c r="H56" s="26" t="n">
        <v>46206</v>
      </c>
      <c r="I56" s="26" t="n">
        <v>46279</v>
      </c>
      <c r="J56" s="20">
        <f>IFERROR(E56/$E$89,0)</f>
        <v>0.00038841865056887147</v>
      </c>
    </row>
    <row r="57" ht="19" customHeight="1">
      <c r="A57" s="12" t="n">
        <v>29</v>
      </c>
      <c r="B57" s="15" t="inlineStr">
        <is>
          <t>Đăng bài vào group (wf 1)</t>
        </is>
      </c>
      <c r="C57" s="12" t="n">
        <v>26</v>
      </c>
      <c r="D57" s="15" t="inlineStr">
        <is>
          <t>Không tìm thấy nút xem tất cả profile/page</t>
        </is>
      </c>
      <c r="E57" s="18" t="n">
        <v>23</v>
      </c>
      <c r="F57" s="18" t="n">
        <v>13</v>
      </c>
      <c r="G57" s="18" t="n">
        <v>10</v>
      </c>
      <c r="H57" s="26" t="n">
        <v>46284</v>
      </c>
      <c r="I57" s="26" t="n">
        <v>46291</v>
      </c>
      <c r="J57" s="20">
        <f>IFERROR(E57/$E$89,0)</f>
        <v>0.00037223454012850186</v>
      </c>
    </row>
    <row r="58" ht="19" customHeight="1">
      <c r="A58" s="12" t="n">
        <v>30</v>
      </c>
      <c r="B58" s="15" t="inlineStr">
        <is>
          <t>Đăng bài trang cá nhân (wf 2)</t>
        </is>
      </c>
      <c r="C58" s="12" t="n">
        <v>21</v>
      </c>
      <c r="D58" s="15" t="inlineStr">
        <is>
          <t>Không tìm thấy container bài đăng nguồn</t>
        </is>
      </c>
      <c r="E58" s="18" t="n">
        <v>22</v>
      </c>
      <c r="F58" s="18" t="n">
        <v>21</v>
      </c>
      <c r="G58" s="18" t="n">
        <v>19</v>
      </c>
      <c r="H58" s="26" t="n">
        <v>46227</v>
      </c>
      <c r="I58" s="26" t="n">
        <v>46246</v>
      </c>
      <c r="J58" s="20">
        <f>IFERROR(E58/$E$89,0)</f>
        <v>0.0003560504296881322</v>
      </c>
    </row>
    <row r="59" ht="32" customHeight="1">
      <c r="A59" s="12" t="n">
        <v>31</v>
      </c>
      <c r="B59" s="15" t="inlineStr">
        <is>
          <t>Nhắn tin khách inbox page (wf 227)</t>
        </is>
      </c>
      <c r="C59" s="12" t="n">
        <v>19</v>
      </c>
      <c r="D59" s="15" t="inlineStr">
        <is>
          <t>Lỗi khi nhập tên vào ô tìm kiếm: không thể khôi phục ô tìm kiếm trống</t>
        </is>
      </c>
      <c r="E59" s="18" t="n">
        <v>21</v>
      </c>
      <c r="F59" s="18" t="n">
        <v>2</v>
      </c>
      <c r="G59" s="18" t="n">
        <v>2</v>
      </c>
      <c r="H59" s="26" t="n">
        <v>46284</v>
      </c>
      <c r="I59" s="26" t="n">
        <v>46287</v>
      </c>
      <c r="J59" s="20">
        <f>IFERROR(E59/$E$89,0)</f>
        <v>0.00033986631924776253</v>
      </c>
    </row>
    <row r="60" ht="19" customHeight="1">
      <c r="A60" s="12" t="n">
        <v>32</v>
      </c>
      <c r="B60" s="15" t="inlineStr">
        <is>
          <t>Đăng bài trang cá nhân (wf 2)</t>
        </is>
      </c>
      <c r="C60" s="12" t="n">
        <v>21</v>
      </c>
      <c r="D60" s="15" t="inlineStr">
        <is>
          <t>Không thấy nút “Chia sẻ ngay”</t>
        </is>
      </c>
      <c r="E60" s="18" t="n">
        <v>19</v>
      </c>
      <c r="F60" s="18" t="n">
        <v>13</v>
      </c>
      <c r="G60" s="18" t="n">
        <v>13</v>
      </c>
      <c r="H60" s="26" t="n">
        <v>46227</v>
      </c>
      <c r="I60" s="26" t="n">
        <v>46227</v>
      </c>
      <c r="J60" s="20">
        <f>IFERROR(E60/$E$89,0)</f>
        <v>0.00030749809836702326</v>
      </c>
    </row>
    <row r="61" ht="19" customHeight="1">
      <c r="A61" s="12" t="n">
        <v>33</v>
      </c>
      <c r="B61" s="15" t="inlineStr">
        <is>
          <t>Đăng bài trang cá nhân (wf 2)</t>
        </is>
      </c>
      <c r="C61" s="12" t="n">
        <v>31</v>
      </c>
      <c r="D61" s="15" t="inlineStr">
        <is>
          <t>videoPath rỗng (cần ít nhất 1 video)</t>
        </is>
      </c>
      <c r="E61" s="18" t="n">
        <v>19</v>
      </c>
      <c r="F61" s="18" t="n">
        <v>11</v>
      </c>
      <c r="G61" s="18" t="n">
        <v>4</v>
      </c>
      <c r="H61" s="26" t="n">
        <v>46199</v>
      </c>
      <c r="I61" s="26" t="n">
        <v>46253</v>
      </c>
      <c r="J61" s="20">
        <f>IFERROR(E61/$E$89,0)</f>
        <v>0.00030749809836702326</v>
      </c>
    </row>
    <row r="62" ht="19" customHeight="1">
      <c r="A62" s="12" t="n">
        <v>34</v>
      </c>
      <c r="B62" s="15" t="inlineStr">
        <is>
          <t>Đăng bài vào group (wf 1)</t>
        </is>
      </c>
      <c r="C62" s="12" t="n">
        <v>29</v>
      </c>
      <c r="D62" s="15" t="inlineStr">
        <is>
          <t>Object has been destroyed</t>
        </is>
      </c>
      <c r="E62" s="18" t="n">
        <v>17</v>
      </c>
      <c r="F62" s="18" t="n">
        <v>15</v>
      </c>
      <c r="G62" s="18" t="n">
        <v>15</v>
      </c>
      <c r="H62" s="26" t="n">
        <v>46164</v>
      </c>
      <c r="I62" s="26" t="n">
        <v>46287</v>
      </c>
      <c r="J62" s="20">
        <f>IFERROR(E62/$E$89,0)</f>
        <v>0.000275129877486284</v>
      </c>
    </row>
    <row r="63" ht="19" customHeight="1">
      <c r="A63" s="12" t="n">
        <v>35</v>
      </c>
      <c r="B63" s="15" t="inlineStr">
        <is>
          <t>Đăng bài trang cá nhân (wf 2)</t>
        </is>
      </c>
      <c r="C63" s="12" t="n">
        <v>12</v>
      </c>
      <c r="D63" s="15" t="inlineStr">
        <is>
          <t>Form đăng bài chưa đóng sau N giây</t>
        </is>
      </c>
      <c r="E63" s="18" t="n">
        <v>16</v>
      </c>
      <c r="F63" s="18" t="n">
        <v>16</v>
      </c>
      <c r="G63" s="18" t="n">
        <v>5</v>
      </c>
      <c r="H63" s="26" t="n">
        <v>46283</v>
      </c>
      <c r="I63" s="26" t="n">
        <v>46288</v>
      </c>
      <c r="J63" s="20">
        <f>IFERROR(E63/$E$89,0)</f>
        <v>0.0002589457670459143</v>
      </c>
    </row>
    <row r="64" ht="19" customHeight="1">
      <c r="A64" s="12" t="n">
        <v>36</v>
      </c>
      <c r="B64" s="15" t="inlineStr">
        <is>
          <t>Đăng bài lên fanpage (wf 226)</t>
        </is>
      </c>
      <c r="C64" s="12" t="n">
        <v>14</v>
      </c>
      <c r="D64" s="15" t="inlineStr">
        <is>
          <t>Lỗi mạng khi tải trang (ERR_*)</t>
        </is>
      </c>
      <c r="E64" s="18" t="n">
        <v>13</v>
      </c>
      <c r="F64" s="18" t="n">
        <v>8</v>
      </c>
      <c r="G64" s="18" t="n">
        <v>5</v>
      </c>
      <c r="H64" s="26" t="n">
        <v>46259</v>
      </c>
      <c r="I64" s="26" t="n">
        <v>46262</v>
      </c>
      <c r="J64" s="20">
        <f>IFERROR(E64/$E$89,0)</f>
        <v>0.00021039343572480537</v>
      </c>
    </row>
    <row r="65" ht="32" customHeight="1">
      <c r="A65" s="12" t="n">
        <v>37</v>
      </c>
      <c r="B65" s="15" t="inlineStr">
        <is>
          <t>Tìm kiếm data trong group (wf 206)</t>
        </is>
      </c>
      <c r="C65" s="12" t="n">
        <v>28</v>
      </c>
      <c r="D65" s="15" t="inlineStr">
        <is>
          <t>AI không trả về nội dung</t>
        </is>
      </c>
      <c r="E65" s="18" t="n">
        <v>13</v>
      </c>
      <c r="F65" s="18" t="n">
        <v>5</v>
      </c>
      <c r="G65" s="18" t="n">
        <v>4</v>
      </c>
      <c r="H65" s="26" t="n">
        <v>46224</v>
      </c>
      <c r="I65" s="26" t="n">
        <v>46263</v>
      </c>
      <c r="J65" s="20">
        <f>IFERROR(E65/$E$89,0)</f>
        <v>0.00021039343572480537</v>
      </c>
    </row>
    <row r="66" ht="19" customHeight="1">
      <c r="A66" s="12" t="n">
        <v>38</v>
      </c>
      <c r="B66" s="15" t="inlineStr">
        <is>
          <t>Đăng bài vào group (wf 1)</t>
        </is>
      </c>
      <c r="C66" s="12" t="n">
        <v>26</v>
      </c>
      <c r="D66" s="15" t="inlineStr">
        <is>
          <t>Không lấy được tên Facebook identity hiện tại</t>
        </is>
      </c>
      <c r="E66" s="18" t="n">
        <v>13</v>
      </c>
      <c r="F66" s="18" t="n">
        <v>9</v>
      </c>
      <c r="G66" s="18" t="n">
        <v>8</v>
      </c>
      <c r="H66" s="26" t="n">
        <v>46284</v>
      </c>
      <c r="I66" s="26" t="n">
        <v>46292</v>
      </c>
      <c r="J66" s="20">
        <f>IFERROR(E66/$E$89,0)</f>
        <v>0.00021039343572480537</v>
      </c>
    </row>
    <row r="67" ht="19" customHeight="1">
      <c r="A67" s="12" t="n">
        <v>39</v>
      </c>
      <c r="B67" s="15" t="inlineStr">
        <is>
          <t>Đăng bài trang cá nhân (wf 2)</t>
        </is>
      </c>
      <c r="C67" s="12" t="n">
        <v>13</v>
      </c>
      <c r="D67" s="15" t="inlineStr">
        <is>
          <t>Không thấy form POST trong dialog</t>
        </is>
      </c>
      <c r="E67" s="18" t="n">
        <v>13</v>
      </c>
      <c r="F67" s="18" t="n">
        <v>13</v>
      </c>
      <c r="G67" s="18" t="n">
        <v>4</v>
      </c>
      <c r="H67" s="26" t="n">
        <v>46246</v>
      </c>
      <c r="I67" s="26" t="n">
        <v>46271</v>
      </c>
      <c r="J67" s="20">
        <f>IFERROR(E67/$E$89,0)</f>
        <v>0.00021039343572480537</v>
      </c>
    </row>
    <row r="68" ht="19" customHeight="1">
      <c r="A68" s="12" t="n">
        <v>40</v>
      </c>
      <c r="B68" s="15" t="inlineStr">
        <is>
          <t>Mời vào group (wf 304)</t>
        </is>
      </c>
      <c r="C68" s="12" t="n">
        <v>25</v>
      </c>
      <c r="D68" s="15" t="inlineStr">
        <is>
          <t>Không tìm thấy input tìm bạn bè trong form mời</t>
        </is>
      </c>
      <c r="E68" s="18" t="n">
        <v>13</v>
      </c>
      <c r="F68" s="18" t="n">
        <v>6</v>
      </c>
      <c r="G68" s="18" t="n">
        <v>6</v>
      </c>
      <c r="H68" s="26" t="n">
        <v>46212</v>
      </c>
      <c r="I68" s="26" t="n">
        <v>46292</v>
      </c>
      <c r="J68" s="20">
        <f>IFERROR(E68/$E$89,0)</f>
        <v>0.00021039343572480537</v>
      </c>
    </row>
    <row r="69" ht="32" customHeight="1">
      <c r="A69" s="12" t="n">
        <v>41</v>
      </c>
      <c r="B69" s="15" t="inlineStr">
        <is>
          <t>Tìm kiếm data bằng search (wf 239)</t>
        </is>
      </c>
      <c r="C69" s="12" t="n">
        <v>29</v>
      </c>
      <c r="D69" s="15" t="inlineStr">
        <is>
          <t>Object has been destroyed</t>
        </is>
      </c>
      <c r="E69" s="18" t="n">
        <v>12</v>
      </c>
      <c r="F69" s="18" t="n">
        <v>1</v>
      </c>
      <c r="G69" s="18" t="n">
        <v>1</v>
      </c>
      <c r="H69" s="26" t="n">
        <v>46238</v>
      </c>
      <c r="I69" s="26" t="n">
        <v>46238</v>
      </c>
      <c r="J69" s="20">
        <f>IFERROR(E69/$E$89,0)</f>
        <v>0.00019420932528443574</v>
      </c>
    </row>
    <row r="70" ht="19" customHeight="1">
      <c r="A70" s="12" t="n">
        <v>42</v>
      </c>
      <c r="B70" s="15" t="inlineStr">
        <is>
          <t>Tham gia group (wf 284)</t>
        </is>
      </c>
      <c r="C70" s="12" t="n">
        <v>31</v>
      </c>
      <c r="D70" s="15" t="inlineStr">
        <is>
          <t>Link group không hợp lệ</t>
        </is>
      </c>
      <c r="E70" s="18" t="n">
        <v>12</v>
      </c>
      <c r="F70" s="18" t="n">
        <v>12</v>
      </c>
      <c r="G70" s="18" t="n">
        <v>12</v>
      </c>
      <c r="H70" s="26" t="n">
        <v>46202</v>
      </c>
      <c r="I70" s="26" t="n">
        <v>46283</v>
      </c>
      <c r="J70" s="20">
        <f>IFERROR(E70/$E$89,0)</f>
        <v>0.00019420932528443574</v>
      </c>
    </row>
    <row r="71" ht="32" customHeight="1">
      <c r="A71" s="12" t="n">
        <v>43</v>
      </c>
      <c r="B71" s="15" t="inlineStr">
        <is>
          <t>Tìm kiếm data trong group (wf 206)</t>
        </is>
      </c>
      <c r="C71" s="12" t="n">
        <v>15</v>
      </c>
      <c r="D71" s="15" t="inlineStr">
        <is>
          <t>Block không tìm thấy</t>
        </is>
      </c>
      <c r="E71" s="18" t="n">
        <v>11</v>
      </c>
      <c r="F71" s="18" t="n">
        <v>9</v>
      </c>
      <c r="G71" s="18" t="n">
        <v>8</v>
      </c>
      <c r="H71" s="26" t="n">
        <v>46195</v>
      </c>
      <c r="I71" s="26" t="n">
        <v>46288</v>
      </c>
      <c r="J71" s="20">
        <f>IFERROR(E71/$E$89,0)</f>
        <v>0.0001780252148440661</v>
      </c>
    </row>
    <row r="72" ht="32" customHeight="1">
      <c r="A72" s="12" t="n">
        <v>44</v>
      </c>
      <c r="B72" s="15" t="inlineStr">
        <is>
          <t>Comment seeding (bài post) (wf 207)</t>
        </is>
      </c>
      <c r="C72" s="12" t="n">
        <v>8</v>
      </c>
      <c r="D72" s="15" t="inlineStr">
        <is>
          <t>Facebook báo giới hạn tần suất comment</t>
        </is>
      </c>
      <c r="E72" s="18" t="n">
        <v>11</v>
      </c>
      <c r="F72" s="18" t="n">
        <v>8</v>
      </c>
      <c r="G72" s="18" t="n">
        <v>3</v>
      </c>
      <c r="H72" s="26" t="n">
        <v>46263</v>
      </c>
      <c r="I72" s="26" t="n">
        <v>46288</v>
      </c>
      <c r="J72" s="20">
        <f>IFERROR(E72/$E$89,0)</f>
        <v>0.0001780252148440661</v>
      </c>
    </row>
    <row r="73" ht="19" customHeight="1">
      <c r="A73" s="12" t="n">
        <v>45</v>
      </c>
      <c r="B73" s="15" t="inlineStr">
        <is>
          <t>Đăng bài lên fanpage (wf 226)</t>
        </is>
      </c>
      <c r="C73" s="12" t="n">
        <v>20</v>
      </c>
      <c r="D73" s="15" t="inlineStr">
        <is>
          <t>Không tìm thấy user access token</t>
        </is>
      </c>
      <c r="E73" s="18" t="n">
        <v>11</v>
      </c>
      <c r="F73" s="18" t="n">
        <v>6</v>
      </c>
      <c r="G73" s="18" t="n">
        <v>4</v>
      </c>
      <c r="H73" s="26" t="n">
        <v>46248</v>
      </c>
      <c r="I73" s="26" t="n">
        <v>46283</v>
      </c>
      <c r="J73" s="20">
        <f>IFERROR(E73/$E$89,0)</f>
        <v>0.0001780252148440661</v>
      </c>
    </row>
    <row r="74" ht="19" customHeight="1">
      <c r="A74" s="12" t="n">
        <v>46</v>
      </c>
      <c r="B74" s="15" t="inlineStr">
        <is>
          <t>Đăng bài vào group (wf 1)</t>
        </is>
      </c>
      <c r="C74" s="12" t="n">
        <v>7</v>
      </c>
      <c r="D74" s="15" t="inlineStr">
        <is>
          <t>Không thấy ô “Viết bình luận” (giai đoạn đầu)</t>
        </is>
      </c>
      <c r="E74" s="18" t="n">
        <v>11</v>
      </c>
      <c r="F74" s="18" t="n">
        <v>7</v>
      </c>
      <c r="G74" s="18" t="n">
        <v>6</v>
      </c>
      <c r="H74" s="26" t="n">
        <v>46149</v>
      </c>
      <c r="I74" s="26" t="n">
        <v>46177</v>
      </c>
      <c r="J74" s="20">
        <f>IFERROR(E74/$E$89,0)</f>
        <v>0.0001780252148440661</v>
      </c>
    </row>
    <row r="75" ht="32" customHeight="1">
      <c r="A75" s="12" t="n">
        <v>47</v>
      </c>
      <c r="B75" s="15" t="inlineStr">
        <is>
          <t>Tìm kiếm data bằng search (wf 239)</t>
        </is>
      </c>
      <c r="C75" s="12" t="n">
        <v>14</v>
      </c>
      <c r="D75" s="15" t="inlineStr">
        <is>
          <t>Lỗi mạng khi tải trang (ERR_*)</t>
        </is>
      </c>
      <c r="E75" s="18" t="n">
        <v>11</v>
      </c>
      <c r="F75" s="18" t="n">
        <v>6</v>
      </c>
      <c r="G75" s="18" t="n">
        <v>4</v>
      </c>
      <c r="H75" s="26" t="n">
        <v>46177</v>
      </c>
      <c r="I75" s="26" t="n">
        <v>46252</v>
      </c>
      <c r="J75" s="20">
        <f>IFERROR(E75/$E$89,0)</f>
        <v>0.0001780252148440661</v>
      </c>
    </row>
    <row r="76" ht="32" customHeight="1">
      <c r="A76" s="12" t="n">
        <v>48</v>
      </c>
      <c r="B76" s="15" t="inlineStr">
        <is>
          <t>Tìm kiếm data bằng search (wf 239)</t>
        </is>
      </c>
      <c r="C76" s="12" t="n">
        <v>28</v>
      </c>
      <c r="D76" s="15" t="inlineStr">
        <is>
          <t>helpers.logRunEvent is not a function (lỗi code 06/2026)</t>
        </is>
      </c>
      <c r="E76" s="18" t="n">
        <v>10</v>
      </c>
      <c r="F76" s="18" t="n">
        <v>2</v>
      </c>
      <c r="G76" s="18" t="n">
        <v>2</v>
      </c>
      <c r="H76" s="26" t="n">
        <v>46178</v>
      </c>
      <c r="I76" s="26" t="n">
        <v>46182</v>
      </c>
      <c r="J76" s="20">
        <f>IFERROR(E76/$E$89,0)</f>
        <v>0.00016184110440369646</v>
      </c>
    </row>
    <row r="77" ht="19" customHeight="1">
      <c r="A77" s="12" t="n">
        <v>49</v>
      </c>
      <c r="B77" s="15" t="inlineStr">
        <is>
          <t>Lướt newsfeed (wf 238)</t>
        </is>
      </c>
      <c r="C77" s="12" t="n">
        <v>27</v>
      </c>
      <c r="D77" s="15" t="inlineStr">
        <is>
          <t>ifElse condition lỗi: Script execution timed out</t>
        </is>
      </c>
      <c r="E77" s="18" t="n">
        <v>9</v>
      </c>
      <c r="F77" s="18" t="n">
        <v>9</v>
      </c>
      <c r="G77" s="18" t="n">
        <v>8</v>
      </c>
      <c r="H77" s="26" t="n">
        <v>46227</v>
      </c>
      <c r="I77" s="26" t="n">
        <v>46290</v>
      </c>
      <c r="J77" s="20">
        <f>IFERROR(E77/$E$89,0)</f>
        <v>0.0001456569939633268</v>
      </c>
    </row>
    <row r="78" ht="19" customHeight="1">
      <c r="A78" s="12" t="n">
        <v>50</v>
      </c>
      <c r="B78" s="15" t="inlineStr">
        <is>
          <t>Nhắn tin &amp; kết bạn UID (wf 208)</t>
        </is>
      </c>
      <c r="C78" s="12" t="n">
        <v>31</v>
      </c>
      <c r="D78" s="15" t="inlineStr">
        <is>
          <t>fb_resolve_url: missing input (dòng data trống)</t>
        </is>
      </c>
      <c r="E78" s="18" t="n">
        <v>9</v>
      </c>
      <c r="F78" s="18" t="n">
        <v>7</v>
      </c>
      <c r="G78" s="18" t="n">
        <v>6</v>
      </c>
      <c r="H78" s="26" t="n">
        <v>46195</v>
      </c>
      <c r="I78" s="26" t="n">
        <v>46273</v>
      </c>
      <c r="J78" s="20">
        <f>IFERROR(E78/$E$89,0)</f>
        <v>0.0001456569939633268</v>
      </c>
    </row>
    <row r="79" ht="32" customHeight="1">
      <c r="A79" s="12" t="n">
        <v>51</v>
      </c>
      <c r="B79" s="15" t="inlineStr">
        <is>
          <t>Tìm kiếm data bằng search (wf 239)</t>
        </is>
      </c>
      <c r="C79" s="12" t="n">
        <v>28</v>
      </c>
      <c r="D79" s="15" t="inlineStr">
        <is>
          <t>AI không trả về nội dung</t>
        </is>
      </c>
      <c r="E79" s="18" t="n">
        <v>8</v>
      </c>
      <c r="F79" s="18" t="n">
        <v>4</v>
      </c>
      <c r="G79" s="18" t="n">
        <v>4</v>
      </c>
      <c r="H79" s="26" t="n">
        <v>46240</v>
      </c>
      <c r="I79" s="26" t="n">
        <v>46268</v>
      </c>
      <c r="J79" s="20">
        <f>IFERROR(E79/$E$89,0)</f>
        <v>0.00012947288352295716</v>
      </c>
    </row>
    <row r="80" ht="19" customHeight="1">
      <c r="A80" s="12" t="n">
        <v>52</v>
      </c>
      <c r="B80" s="15" t="inlineStr">
        <is>
          <t>Đăng bài trang cá nhân (wf 2)</t>
        </is>
      </c>
      <c r="C80" s="12" t="n">
        <v>22</v>
      </c>
      <c r="D80" s="15" t="inlineStr">
        <is>
          <t>Không thấy input[type=file]</t>
        </is>
      </c>
      <c r="E80" s="18" t="n">
        <v>8</v>
      </c>
      <c r="F80" s="18" t="n">
        <v>4</v>
      </c>
      <c r="G80" s="18" t="n">
        <v>4</v>
      </c>
      <c r="H80" s="26" t="n">
        <v>46189</v>
      </c>
      <c r="I80" s="26" t="n">
        <v>46226</v>
      </c>
      <c r="J80" s="20">
        <f>IFERROR(E80/$E$89,0)</f>
        <v>0.00012947288352295716</v>
      </c>
    </row>
    <row r="81" ht="19" customHeight="1">
      <c r="A81" s="12" t="n">
        <v>53</v>
      </c>
      <c r="B81" s="15" t="inlineStr">
        <is>
          <t>Đăng bài vào group (wf 1)</t>
        </is>
      </c>
      <c r="C81" s="12" t="n">
        <v>8</v>
      </c>
      <c r="D81" s="15" t="inlineStr">
        <is>
          <t>Facebook báo giới hạn tần suất comment</t>
        </is>
      </c>
      <c r="E81" s="18" t="n">
        <v>8</v>
      </c>
      <c r="F81" s="18" t="n">
        <v>5</v>
      </c>
      <c r="G81" s="18" t="n">
        <v>5</v>
      </c>
      <c r="H81" s="26" t="n">
        <v>46217</v>
      </c>
      <c r="I81" s="26" t="n">
        <v>46283</v>
      </c>
      <c r="J81" s="20">
        <f>IFERROR(E81/$E$89,0)</f>
        <v>0.00012947288352295716</v>
      </c>
    </row>
    <row r="82" ht="32" customHeight="1">
      <c r="A82" s="12" t="n">
        <v>54</v>
      </c>
      <c r="B82" s="15" t="inlineStr">
        <is>
          <t>Comment seeding (bài post) (wf 207)</t>
        </is>
      </c>
      <c r="C82" s="12" t="n">
        <v>15</v>
      </c>
      <c r="D82" s="15" t="inlineStr">
        <is>
          <t>Block không tìm thấy</t>
        </is>
      </c>
      <c r="E82" s="18" t="n">
        <v>7</v>
      </c>
      <c r="F82" s="18" t="n">
        <v>5</v>
      </c>
      <c r="G82" s="18" t="n">
        <v>4</v>
      </c>
      <c r="H82" s="26" t="n">
        <v>46202</v>
      </c>
      <c r="I82" s="26" t="n">
        <v>46290</v>
      </c>
      <c r="J82" s="20">
        <f>IFERROR(E82/$E$89,0)</f>
        <v>0.00011328877308258752</v>
      </c>
    </row>
    <row r="83" ht="19" customHeight="1">
      <c r="A83" s="12" t="n">
        <v>55</v>
      </c>
      <c r="B83" s="15" t="inlineStr">
        <is>
          <t>Đăng bài vào group (wf 1)</t>
        </is>
      </c>
      <c r="C83" s="12" t="n">
        <v>26</v>
      </c>
      <c r="D83" s="15" t="inlineStr">
        <is>
          <t>Có lỗi xảy ra khi chọn page/profile</t>
        </is>
      </c>
      <c r="E83" s="18" t="n">
        <v>7</v>
      </c>
      <c r="F83" s="18" t="n">
        <v>6</v>
      </c>
      <c r="G83" s="18" t="n">
        <v>6</v>
      </c>
      <c r="H83" s="26" t="n">
        <v>46283</v>
      </c>
      <c r="I83" s="26" t="n">
        <v>46292</v>
      </c>
      <c r="J83" s="20">
        <f>IFERROR(E83/$E$89,0)</f>
        <v>0.00011328877308258752</v>
      </c>
    </row>
    <row r="84" ht="19" customHeight="1">
      <c r="A84" s="12" t="n">
        <v>56</v>
      </c>
      <c r="B84" s="15" t="inlineStr">
        <is>
          <t>Nhắn tin &amp; kết bạn UID (wf 208)</t>
        </is>
      </c>
      <c r="C84" s="12" t="n">
        <v>15</v>
      </c>
      <c r="D84" s="15" t="inlineStr">
        <is>
          <t>Block không tìm thấy</t>
        </is>
      </c>
      <c r="E84" s="18" t="n">
        <v>5</v>
      </c>
      <c r="F84" s="18" t="n">
        <v>5</v>
      </c>
      <c r="G84" s="18" t="n">
        <v>5</v>
      </c>
      <c r="H84" s="26" t="n">
        <v>46209</v>
      </c>
      <c r="I84" s="26" t="n">
        <v>46286</v>
      </c>
      <c r="J84" s="20">
        <f>IFERROR(E84/$E$89,0)</f>
        <v>8.092055220184823e-05</v>
      </c>
    </row>
    <row r="85" ht="32" customHeight="1">
      <c r="A85" s="12" t="n">
        <v>57</v>
      </c>
      <c r="B85" s="15" t="inlineStr">
        <is>
          <t>Tìm kiếm data trong group (wf 206)</t>
        </is>
      </c>
      <c r="C85" s="12" t="n">
        <v>29</v>
      </c>
      <c r="D85" s="15" t="inlineStr">
        <is>
          <t>Script failed to execute</t>
        </is>
      </c>
      <c r="E85" s="18" t="n">
        <v>5</v>
      </c>
      <c r="F85" s="18" t="n">
        <v>2</v>
      </c>
      <c r="G85" s="18" t="n">
        <v>1</v>
      </c>
      <c r="H85" s="26" t="n">
        <v>46164</v>
      </c>
      <c r="I85" s="26" t="n">
        <v>46164</v>
      </c>
      <c r="J85" s="20">
        <f>IFERROR(E85/$E$89,0)</f>
        <v>8.092055220184823e-05</v>
      </c>
    </row>
    <row r="86" ht="32" customHeight="1">
      <c r="A86" s="12" t="n">
        <v>58</v>
      </c>
      <c r="B86" s="15" t="inlineStr">
        <is>
          <t>Comment seeding (group/page/profile) (wf 157)</t>
        </is>
      </c>
      <c r="C86" s="12" t="n">
        <v>7</v>
      </c>
      <c r="D86" s="15" t="inlineStr">
        <is>
          <t>Không thấy ô “Viết bình luận” (giai đoạn đầu)</t>
        </is>
      </c>
      <c r="E86" s="18" t="n">
        <v>5</v>
      </c>
      <c r="F86" s="18" t="n">
        <v>4</v>
      </c>
      <c r="G86" s="18" t="n">
        <v>3</v>
      </c>
      <c r="H86" s="26" t="n">
        <v>46156</v>
      </c>
      <c r="I86" s="26" t="n">
        <v>46175</v>
      </c>
      <c r="J86" s="20">
        <f>IFERROR(E86/$E$89,0)</f>
        <v>8.092055220184823e-05</v>
      </c>
    </row>
    <row r="87" ht="19" customHeight="1">
      <c r="A87" s="12" t="n">
        <v>59</v>
      </c>
      <c r="B87" s="15" t="inlineStr">
        <is>
          <t>Đăng bài vào group (wf 1)</t>
        </is>
      </c>
      <c r="C87" s="12" t="n">
        <v>29</v>
      </c>
      <c r="D87" s="15" t="inlineStr">
        <is>
          <t>ifElse condition lỗi: Script execution timed out</t>
        </is>
      </c>
      <c r="E87" s="18" t="n">
        <v>5</v>
      </c>
      <c r="F87" s="18" t="n">
        <v>5</v>
      </c>
      <c r="G87" s="18" t="n">
        <v>4</v>
      </c>
      <c r="H87" s="26" t="n">
        <v>46278</v>
      </c>
      <c r="I87" s="26" t="n">
        <v>46290</v>
      </c>
      <c r="J87" s="20">
        <f>IFERROR(E87/$E$89,0)</f>
        <v>8.092055220184823e-05</v>
      </c>
    </row>
    <row r="88" ht="32" customHeight="1">
      <c r="A88" s="12" t="n">
        <v>60</v>
      </c>
      <c r="B88" s="15" t="inlineStr">
        <is>
          <t>Nhắn tin khách inbox page (wf 227)</t>
        </is>
      </c>
      <c r="C88" s="12" t="n">
        <v>14</v>
      </c>
      <c r="D88" s="15" t="inlineStr">
        <is>
          <t>Lỗi mạng khi tải trang (ERR_*)</t>
        </is>
      </c>
      <c r="E88" s="18" t="n">
        <v>5</v>
      </c>
      <c r="F88" s="18" t="n">
        <v>4</v>
      </c>
      <c r="G88" s="18" t="n">
        <v>4</v>
      </c>
      <c r="H88" s="26" t="n">
        <v>46260</v>
      </c>
      <c r="I88" s="26" t="n">
        <v>46266</v>
      </c>
      <c r="J88" s="20">
        <f>IFERROR(E88/$E$89,0)</f>
        <v>8.092055220184823e-05</v>
      </c>
    </row>
    <row r="89">
      <c r="A89" s="21" t="n"/>
      <c r="B89" s="22" t="inlineStr">
        <is>
          <t>TỔNG CÁC NHÓM LIỆT KÊ</t>
        </is>
      </c>
      <c r="C89" s="21" t="n"/>
      <c r="D89" s="21" t="n"/>
      <c r="E89" s="23">
        <f>SUM(E29:E88)</f>
        <v>61789</v>
      </c>
      <c r="F89" s="21" t="n"/>
      <c r="G89" s="21" t="n"/>
      <c r="H89" s="21" t="n"/>
      <c r="I89" s="21" t="n"/>
      <c r="J89" s="24">
        <f>IFERROR(E89/E89,0)</f>
        <v>1</v>
      </c>
      <c r="K89" s="27" t="n"/>
    </row>
    <row r="91" ht="30" customHeight="1">
      <c r="B91" s="14" t="inlineStr">
        <is>
          <t>Lượt lỗi có mã Facebook riêng (giới hạn tần suất đăng bài STT 2 + comment STT 8)</t>
        </is>
      </c>
      <c r="C91" s="28" t="n"/>
      <c r="D91" s="28" t="n"/>
      <c r="E91" s="29">
        <f>SUMIF($C$29:$C$88,2,$E$29:$E$88)+SUMIF($C$29:$C$88,8,$E$29:$E$88)</f>
        <v>3889</v>
      </c>
    </row>
    <row r="92" ht="30" customHeight="1">
      <c r="B92" s="14" t="inlineStr">
        <is>
          <t>Tỷ lệ lượt lỗi có mã Facebook riêng</t>
        </is>
      </c>
      <c r="C92" s="28" t="n"/>
      <c r="D92" s="28" t="n"/>
      <c r="E92" s="30">
        <f>IFERROR(E91/$E$89,0)</f>
        <v>0.06294000550259755</v>
      </c>
    </row>
    <row r="93" ht="30" customHeight="1">
      <c r="B93" s="14" t="inlineStr">
        <is>
          <t>Tỷ lệ lượt lỗi rơi vào mã chung err_undefined (còn lại)</t>
        </is>
      </c>
      <c r="C93" s="28" t="n"/>
      <c r="D93" s="28" t="n"/>
      <c r="E93" s="30">
        <f>1-E92</f>
        <v>0.9370599944974024</v>
      </c>
    </row>
    <row r="94" ht="30" customHeight="1">
      <c r="B94" s="14" t="inlineStr">
        <is>
          <t>Riêng lỗi STT 1 (không thấy ô đăng bài group) – số lượt</t>
        </is>
      </c>
      <c r="C94" s="28" t="n"/>
      <c r="D94" s="28" t="n"/>
      <c r="E94" s="29">
        <f>SUMIF($C$29:$C$88,1,$E$29:$E$88)</f>
        <v>38017</v>
      </c>
    </row>
    <row r="95" ht="30" customHeight="1">
      <c r="B95" s="14" t="inlineStr">
        <is>
          <t>Riêng lỗi STT 1 – tỷ trọng trên tổng lượt lỗi</t>
        </is>
      </c>
      <c r="C95" s="28" t="n"/>
      <c r="D95" s="28" t="n"/>
      <c r="E95" s="30">
        <f>IFERROR(E94/$E$89,0)</f>
        <v>0.6152713266115328</v>
      </c>
    </row>
    <row r="97" ht="28" customHeight="1">
      <c r="B97" s="25" t="inlineStr">
        <is>
          <t>Ghi chú: chỉ liệt kê nhóm lỗi ≥ 5 lượt (top 60). Ngoài ra workflow “Quét page quản lý” có 110 lượt “Không tìm thấy user access token” và 15 lượt “Malformed access token” (14–25/09/2026) – xem STT 20.</t>
        </is>
      </c>
    </row>
  </sheetData>
  <mergeCells count="9">
    <mergeCell ref="B94:D94"/>
    <mergeCell ref="B97:K97"/>
    <mergeCell ref="B93:D93"/>
    <mergeCell ref="A2:K2"/>
    <mergeCell ref="B92:D92"/>
    <mergeCell ref="B25:K25"/>
    <mergeCell ref="B91:D91"/>
    <mergeCell ref="A1:K1"/>
    <mergeCell ref="B95:D9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6" customWidth="1" min="1" max="1"/>
    <col width="36" customWidth="1" min="2" max="2"/>
    <col width="44" customWidth="1" min="3" max="3"/>
    <col width="14" customWidth="1" min="4" max="4"/>
    <col width="14" customWidth="1" min="5" max="5"/>
    <col width="14" customWidth="1" min="6" max="6"/>
    <col width="30" customWidth="1" min="7" max="7"/>
  </cols>
  <sheetData>
    <row r="1" ht="24" customHeight="1">
      <c r="A1" s="1" t="inlineStr">
        <is>
          <t>TRẠNG THÁI TÀI KHOẢN, CHIẾN DỊCH VÀ BỘ ĐẾM LỖI (FACEBOOK)</t>
        </is>
      </c>
    </row>
    <row r="2" ht="26" customHeight="1">
      <c r="A2" s="2" t="inlineStr">
        <is>
          <t>Số liệu chỉ-đọc từ Supabase “akachat” ngày 28/09/2026. Số màu xanh dương là số nhập tay từ truy vấn; tổng là công thức.</t>
        </is>
      </c>
    </row>
    <row r="4">
      <c r="A4" s="17" t="inlineStr">
        <is>
          <t>A. TÀI KHOẢN FACEBOOK (auto_accounts, chưa xoá)</t>
        </is>
      </c>
    </row>
    <row r="5" ht="32" customHeight="1">
      <c r="A5" s="3" t="inlineStr">
        <is>
          <t>#</t>
        </is>
      </c>
      <c r="B5" s="3" t="inlineStr">
        <is>
          <t>Trạng thái đăng nhập</t>
        </is>
      </c>
      <c r="C5" s="3" t="inlineStr">
        <is>
          <t>Trạng thái tài khoản</t>
        </is>
      </c>
      <c r="D5" s="3" t="inlineStr">
        <is>
          <t>Số tài khoản</t>
        </is>
      </c>
      <c r="E5" s="3" t="inlineStr"/>
      <c r="F5" s="3" t="inlineStr"/>
      <c r="G5" s="3" t="inlineStr">
        <is>
          <t>Ghi chú</t>
        </is>
      </c>
    </row>
    <row r="6" ht="19" customHeight="1">
      <c r="A6" s="12" t="n">
        <v>1</v>
      </c>
      <c r="B6" s="14" t="inlineStr">
        <is>
          <t>đã đăng nhập</t>
        </is>
      </c>
      <c r="C6" s="15" t="inlineStr">
        <is>
          <t>chờ xử lý</t>
        </is>
      </c>
      <c r="D6" s="18" t="n">
        <v>759</v>
      </c>
      <c r="E6" s="15" t="n"/>
      <c r="F6" s="15" t="n"/>
      <c r="G6" s="15" t="inlineStr"/>
    </row>
    <row r="7" ht="19" customHeight="1">
      <c r="A7" s="12" t="n">
        <v>2</v>
      </c>
      <c r="B7" s="14" t="inlineStr">
        <is>
          <t>đã đăng nhập</t>
        </is>
      </c>
      <c r="C7" s="15" t="inlineStr">
        <is>
          <t>đang chạy</t>
        </is>
      </c>
      <c r="D7" s="18" t="n">
        <v>132</v>
      </c>
      <c r="E7" s="15" t="n"/>
      <c r="F7" s="15" t="n"/>
      <c r="G7" s="15" t="inlineStr"/>
    </row>
    <row r="8" ht="19" customHeight="1">
      <c r="A8" s="12" t="n">
        <v>3</v>
      </c>
      <c r="B8" s="14" t="inlineStr">
        <is>
          <t>đã đăng nhập</t>
        </is>
      </c>
      <c r="C8" s="15" t="inlineStr">
        <is>
          <t>tạm dừng</t>
        </is>
      </c>
      <c r="D8" s="18" t="n">
        <v>42</v>
      </c>
      <c r="E8" s="15" t="n"/>
      <c r="F8" s="15" t="n"/>
      <c r="G8" s="15" t="inlineStr">
        <is>
          <t>15 tài khoản còn is_active</t>
        </is>
      </c>
    </row>
    <row r="9" ht="19" customHeight="1">
      <c r="A9" s="12" t="n">
        <v>4</v>
      </c>
      <c r="B9" s="14" t="inlineStr">
        <is>
          <t>chưa đăng nhập</t>
        </is>
      </c>
      <c r="C9" s="15" t="inlineStr">
        <is>
          <t>chờ xử lý</t>
        </is>
      </c>
      <c r="D9" s="18" t="n">
        <v>140</v>
      </c>
      <c r="E9" s="15" t="n"/>
      <c r="F9" s="15" t="n"/>
      <c r="G9" s="15" t="inlineStr">
        <is>
          <t>Không chạy được chiến dịch</t>
        </is>
      </c>
    </row>
    <row r="10" ht="19" customHeight="1">
      <c r="A10" s="12" t="n">
        <v>5</v>
      </c>
      <c r="B10" s="14" t="inlineStr">
        <is>
          <t>chưa đăng nhập</t>
        </is>
      </c>
      <c r="C10" s="15" t="inlineStr">
        <is>
          <t>tạm dừng</t>
        </is>
      </c>
      <c r="D10" s="18" t="n">
        <v>3</v>
      </c>
      <c r="E10" s="15" t="n"/>
      <c r="F10" s="15" t="n"/>
      <c r="G10" s="15" t="inlineStr"/>
    </row>
    <row r="11" ht="32" customHeight="1">
      <c r="A11" s="12" t="n">
        <v>6</v>
      </c>
      <c r="B11" s="14" t="inlineStr">
        <is>
          <t>checkpoint</t>
        </is>
      </c>
      <c r="C11" s="15" t="inlineStr">
        <is>
          <t>chờ xử lý</t>
        </is>
      </c>
      <c r="D11" s="18" t="n">
        <v>5</v>
      </c>
      <c r="E11" s="15" t="n"/>
      <c r="F11" s="15" t="n"/>
      <c r="G11" s="15" t="inlineStr">
        <is>
          <t>Cần xác minh – hiện bị báo là “đăng xuất”</t>
        </is>
      </c>
    </row>
    <row r="12">
      <c r="A12" s="21" t="n"/>
      <c r="B12" s="22" t="inlineStr">
        <is>
          <t>TỔNG</t>
        </is>
      </c>
      <c r="C12" s="21" t="n"/>
      <c r="D12" s="23">
        <f>SUM(D6:D11)</f>
        <v>1081</v>
      </c>
      <c r="E12" s="21" t="n"/>
      <c r="F12" s="21" t="n"/>
      <c r="G12" s="21" t="n"/>
    </row>
    <row r="14">
      <c r="A14" s="17" t="inlineStr">
        <is>
          <t>B. SỰ KIỆN TÀI KHOẢN FACEBOOK (auto_account_logs, 21/09 → 28/09/2026 – bảng mới có log từ 20/09)</t>
        </is>
      </c>
    </row>
    <row r="15" ht="32" customHeight="1">
      <c r="A15" s="3" t="inlineStr">
        <is>
          <t>#</t>
        </is>
      </c>
      <c r="B15" s="3" t="inlineStr">
        <is>
          <t>Sự kiện</t>
        </is>
      </c>
      <c r="C15" s="3" t="inlineStr">
        <is>
          <t>Nội dung</t>
        </is>
      </c>
      <c r="D15" s="3" t="inlineStr">
        <is>
          <t>Số lần</t>
        </is>
      </c>
      <c r="E15" s="3" t="inlineStr">
        <is>
          <t>Số tài khoản</t>
        </is>
      </c>
      <c r="F15" s="3" t="inlineStr"/>
      <c r="G15" s="3" t="inlineStr">
        <is>
          <t>Ghi chú</t>
        </is>
      </c>
    </row>
    <row r="16" ht="32" customHeight="1">
      <c r="A16" s="12" t="n">
        <v>1</v>
      </c>
      <c r="B16" s="14" t="inlineStr">
        <is>
          <t>logout</t>
        </is>
      </c>
      <c r="C16" s="15" t="inlineStr">
        <is>
          <t>Trạng thái đăng nhập: đã đăng nhập → chưa đăng nhập</t>
        </is>
      </c>
      <c r="D16" s="18" t="n">
        <v>33</v>
      </c>
      <c r="E16" s="18" t="n">
        <v>18</v>
      </c>
      <c r="F16" s="15" t="n"/>
      <c r="G16" s="15" t="inlineStr">
        <is>
          <t>err_logout</t>
        </is>
      </c>
    </row>
    <row r="17" ht="19" customHeight="1">
      <c r="A17" s="12" t="n">
        <v>2</v>
      </c>
      <c r="B17" s="14" t="inlineStr">
        <is>
          <t>login_status_changed</t>
        </is>
      </c>
      <c r="C17" s="15" t="inlineStr">
        <is>
          <t>đã đăng nhập / chưa đăng nhập → checkpoint</t>
        </is>
      </c>
      <c r="D17" s="18" t="n">
        <v>4</v>
      </c>
      <c r="E17" s="18" t="n">
        <v>4</v>
      </c>
      <c r="F17" s="15" t="n"/>
      <c r="G17" s="15" t="inlineStr">
        <is>
          <t>Checkpoint được ghi nhận</t>
        </is>
      </c>
    </row>
    <row r="18" ht="19" customHeight="1">
      <c r="A18" s="12" t="n">
        <v>3</v>
      </c>
      <c r="B18" s="14" t="inlineStr">
        <is>
          <t>login</t>
        </is>
      </c>
      <c r="C18" s="15" t="inlineStr">
        <is>
          <t>checkpoint → đã đăng nhập</t>
        </is>
      </c>
      <c r="D18" s="18" t="n">
        <v>2</v>
      </c>
      <c r="E18" s="18" t="n">
        <v>2</v>
      </c>
      <c r="F18" s="15" t="n"/>
      <c r="G18" s="15" t="inlineStr">
        <is>
          <t>Gỡ checkpoint</t>
        </is>
      </c>
    </row>
    <row r="19" ht="19" customHeight="1">
      <c r="A19" s="12" t="n">
        <v>4</v>
      </c>
      <c r="B19" s="14" t="inlineStr">
        <is>
          <t>login</t>
        </is>
      </c>
      <c r="C19" s="15" t="inlineStr">
        <is>
          <t>chưa đăng nhập → đã đăng nhập</t>
        </is>
      </c>
      <c r="D19" s="18" t="n">
        <v>84</v>
      </c>
      <c r="E19" s="18" t="n">
        <v>69</v>
      </c>
      <c r="F19" s="15" t="n"/>
      <c r="G19" s="15" t="inlineStr"/>
    </row>
    <row r="20" ht="32" customHeight="1">
      <c r="A20" s="12" t="n">
        <v>5</v>
      </c>
      <c r="B20" s="14" t="inlineStr">
        <is>
          <t>runtime_error</t>
        </is>
      </c>
      <c r="C20" s="15" t="inlineStr">
        <is>
          <t>Không tìm thấy user access token. Hãy mở lại tab Business/Facebook…</t>
        </is>
      </c>
      <c r="D20" s="18" t="n">
        <v>39</v>
      </c>
      <c r="E20" s="18" t="n">
        <v>10</v>
      </c>
      <c r="F20" s="15" t="n"/>
      <c r="G20" s="15" t="inlineStr">
        <is>
          <t>STT 20</t>
        </is>
      </c>
    </row>
    <row r="21" ht="32" customHeight="1">
      <c r="A21" s="12" t="n">
        <v>6</v>
      </c>
      <c r="B21" s="14" t="inlineStr">
        <is>
          <t>runtime_error</t>
        </is>
      </c>
      <c r="C21" s="15" t="inlineStr">
        <is>
          <t>Tài khoản đang chạy chiến dịch hoặc quét data, vui lòng đợi…</t>
        </is>
      </c>
      <c r="D21" s="18" t="n">
        <v>22</v>
      </c>
      <c r="E21" s="18" t="n">
        <v>10</v>
      </c>
      <c r="F21" s="15" t="n"/>
      <c r="G21" s="15" t="inlineStr">
        <is>
          <t>Xung đột thao tác</t>
        </is>
      </c>
    </row>
    <row r="22" ht="32" customHeight="1">
      <c r="A22" s="12" t="n">
        <v>7</v>
      </c>
      <c r="B22" s="14" t="inlineStr">
        <is>
          <t>runtime_error</t>
        </is>
      </c>
      <c r="C22" s="15" t="inlineStr">
        <is>
          <t>Không lấy được token Facebook. Vui lòng mở lại tab Facebook/Business…</t>
        </is>
      </c>
      <c r="D22" s="18" t="n">
        <v>3</v>
      </c>
      <c r="E22" s="18" t="n">
        <v>2</v>
      </c>
      <c r="F22" s="15" t="n"/>
      <c r="G22" s="15" t="inlineStr">
        <is>
          <t>STT 20</t>
        </is>
      </c>
    </row>
    <row r="23" ht="19" customHeight="1">
      <c r="A23" s="12" t="n">
        <v>8</v>
      </c>
      <c r="B23" s="14" t="inlineStr">
        <is>
          <t>runtime_error</t>
        </is>
      </c>
      <c r="C23" s="15" t="inlineStr">
        <is>
          <t>ERR_TUNNEL_CONNECTION_FAILED (proxy)</t>
        </is>
      </c>
      <c r="D23" s="18" t="n">
        <v>1</v>
      </c>
      <c r="E23" s="18" t="n">
        <v>1</v>
      </c>
      <c r="F23" s="15" t="n"/>
      <c r="G23" s="15" t="inlineStr">
        <is>
          <t>STT 14</t>
        </is>
      </c>
    </row>
    <row r="24" ht="32" customHeight="1">
      <c r="A24" s="12" t="n">
        <v>9</v>
      </c>
      <c r="B24" s="14" t="inlineStr">
        <is>
          <t>status_changed</t>
        </is>
      </c>
      <c r="C24" s="15" t="inlineStr">
        <is>
          <t>Trạng thái tài khoản: đang chạy / chờ xử lý → tạm dừng</t>
        </is>
      </c>
      <c r="D24" s="18" t="n">
        <v>138</v>
      </c>
      <c r="E24" s="18" t="n"/>
      <c r="F24" s="15" t="n"/>
      <c r="G24" s="15" t="inlineStr">
        <is>
          <t>30 + 37 tài khoản (có thể trùng) – tạm dừng tài khoản</t>
        </is>
      </c>
    </row>
    <row r="26">
      <c r="A26" s="17" t="inlineStr">
        <is>
          <t>C. CHIẾN DỊCH FACEBOOK THEO LOẠI (auto_campaigns)</t>
        </is>
      </c>
    </row>
    <row r="27" ht="32" customHeight="1">
      <c r="A27" s="3" t="inlineStr">
        <is>
          <t>#</t>
        </is>
      </c>
      <c r="B27" s="3" t="inlineStr">
        <is>
          <t>Loại chiến dịch (action_id)</t>
        </is>
      </c>
      <c r="C27" s="3" t="inlineStr">
        <is>
          <t>Tên</t>
        </is>
      </c>
      <c r="D27" s="3" t="inlineStr">
        <is>
          <t>Đã tạo</t>
        </is>
      </c>
      <c r="E27" s="3" t="inlineStr">
        <is>
          <t>Còn tồn tại (chưa xoá)</t>
        </is>
      </c>
      <c r="F27" s="3" t="inlineStr"/>
      <c r="G27" s="3" t="inlineStr">
        <is>
          <t>Ghi chú</t>
        </is>
      </c>
    </row>
    <row r="28" ht="19" customHeight="1">
      <c r="A28" s="12" t="n">
        <v>1</v>
      </c>
      <c r="B28" s="14" t="inlineStr">
        <is>
          <t>facebook_group_post</t>
        </is>
      </c>
      <c r="C28" s="15" t="inlineStr">
        <is>
          <t>Đăng bài vào group</t>
        </is>
      </c>
      <c r="D28" s="18" t="n">
        <v>7356</v>
      </c>
      <c r="E28" s="18" t="n">
        <v>3446</v>
      </c>
      <c r="F28" s="15" t="n"/>
      <c r="G28" s="15" t="inlineStr"/>
    </row>
    <row r="29" ht="19" customHeight="1">
      <c r="A29" s="12" t="n">
        <v>2</v>
      </c>
      <c r="B29" s="14" t="inlineStr">
        <is>
          <t>facebook_timeline_post</t>
        </is>
      </c>
      <c r="C29" s="15" t="inlineStr">
        <is>
          <t>Đăng bài lên trang cá nhân</t>
        </is>
      </c>
      <c r="D29" s="18" t="n">
        <v>1629</v>
      </c>
      <c r="E29" s="18" t="n">
        <v>513</v>
      </c>
      <c r="F29" s="15" t="n"/>
      <c r="G29" s="15" t="inlineStr"/>
    </row>
    <row r="30" ht="19" customHeight="1">
      <c r="A30" s="12" t="n">
        <v>3</v>
      </c>
      <c r="B30" s="14" t="inlineStr">
        <is>
          <t>facebook_comment_seeding_post</t>
        </is>
      </c>
      <c r="C30" s="15" t="inlineStr">
        <is>
          <t>Comment seeding vào danh sách bài post</t>
        </is>
      </c>
      <c r="D30" s="18" t="n">
        <v>1192</v>
      </c>
      <c r="E30" s="18" t="n">
        <v>429</v>
      </c>
      <c r="F30" s="15" t="n"/>
      <c r="G30" s="15" t="inlineStr"/>
    </row>
    <row r="31" ht="19" customHeight="1">
      <c r="A31" s="12" t="n">
        <v>4</v>
      </c>
      <c r="B31" s="14" t="inlineStr">
        <is>
          <t>facebook_newsfeed_interaction</t>
        </is>
      </c>
      <c r="C31" s="15" t="inlineStr">
        <is>
          <t>Lướt newsfeed và tương tác</t>
        </is>
      </c>
      <c r="D31" s="18" t="n">
        <v>648</v>
      </c>
      <c r="E31" s="18" t="n">
        <v>256</v>
      </c>
      <c r="F31" s="15" t="n"/>
      <c r="G31" s="15" t="inlineStr"/>
    </row>
    <row r="32" ht="19" customHeight="1">
      <c r="A32" s="12" t="n">
        <v>5</v>
      </c>
      <c r="B32" s="14" t="inlineStr">
        <is>
          <t>facebook_comment_seeding</t>
        </is>
      </c>
      <c r="C32" s="15" t="inlineStr">
        <is>
          <t>Comment seeding vào group/page/profile</t>
        </is>
      </c>
      <c r="D32" s="18" t="n">
        <v>640</v>
      </c>
      <c r="E32" s="18" t="n">
        <v>278</v>
      </c>
      <c r="F32" s="15" t="n"/>
      <c r="G32" s="15" t="inlineStr"/>
    </row>
    <row r="33" ht="19" customHeight="1">
      <c r="A33" s="12" t="n">
        <v>6</v>
      </c>
      <c r="B33" s="14" t="inlineStr">
        <is>
          <t>facebook_message_uid</t>
        </is>
      </c>
      <c r="C33" s="15" t="inlineStr">
        <is>
          <t>Nhắn tin &amp; kết bạn đến UID</t>
        </is>
      </c>
      <c r="D33" s="18" t="n">
        <v>483</v>
      </c>
      <c r="E33" s="18" t="n">
        <v>228</v>
      </c>
      <c r="F33" s="15" t="n"/>
      <c r="G33" s="15" t="inlineStr"/>
    </row>
    <row r="34" ht="19" customHeight="1">
      <c r="A34" s="12" t="n">
        <v>7</v>
      </c>
      <c r="B34" s="14" t="inlineStr">
        <is>
          <t>facebook_join_group</t>
        </is>
      </c>
      <c r="C34" s="15" t="inlineStr">
        <is>
          <t>Tham gia vào group</t>
        </is>
      </c>
      <c r="D34" s="18" t="n">
        <v>460</v>
      </c>
      <c r="E34" s="18" t="n">
        <v>98</v>
      </c>
      <c r="F34" s="15" t="n"/>
      <c r="G34" s="15" t="inlineStr"/>
    </row>
    <row r="35" ht="19" customHeight="1">
      <c r="A35" s="12" t="n">
        <v>8</v>
      </c>
      <c r="B35" s="14" t="inlineStr">
        <is>
          <t>facebook_find_data_group</t>
        </is>
      </c>
      <c r="C35" s="15" t="inlineStr">
        <is>
          <t>Tìm kiếm data trong group</t>
        </is>
      </c>
      <c r="D35" s="18" t="n">
        <v>417</v>
      </c>
      <c r="E35" s="18" t="n">
        <v>242</v>
      </c>
      <c r="F35" s="15" t="n"/>
      <c r="G35" s="15" t="inlineStr"/>
    </row>
    <row r="36" ht="19" customHeight="1">
      <c r="A36" s="12" t="n">
        <v>9</v>
      </c>
      <c r="B36" s="14" t="inlineStr">
        <is>
          <t>facebook_find_data_search</t>
        </is>
      </c>
      <c r="C36" s="15" t="inlineStr">
        <is>
          <t>Tìm kiếm data bằng search</t>
        </is>
      </c>
      <c r="D36" s="18" t="n">
        <v>403</v>
      </c>
      <c r="E36" s="18" t="n">
        <v>199</v>
      </c>
      <c r="F36" s="15" t="n"/>
      <c r="G36" s="15" t="inlineStr"/>
    </row>
    <row r="37" ht="19" customHeight="1">
      <c r="A37" s="12" t="n">
        <v>10</v>
      </c>
      <c r="B37" s="14" t="inlineStr">
        <is>
          <t>facebook_page_to_message</t>
        </is>
      </c>
      <c r="C37" s="15" t="inlineStr">
        <is>
          <t>Nhắn tin khách từng inbox với page</t>
        </is>
      </c>
      <c r="D37" s="18" t="n">
        <v>245</v>
      </c>
      <c r="E37" s="18" t="n">
        <v>98</v>
      </c>
      <c r="F37" s="15" t="n"/>
      <c r="G37" s="15" t="inlineStr"/>
    </row>
    <row r="38" ht="19" customHeight="1">
      <c r="A38" s="12" t="n">
        <v>11</v>
      </c>
      <c r="B38" s="14" t="inlineStr">
        <is>
          <t>facebook_page_post</t>
        </is>
      </c>
      <c r="C38" s="15" t="inlineStr">
        <is>
          <t>Đăng bài lên fanpage</t>
        </is>
      </c>
      <c r="D38" s="18" t="n">
        <v>176</v>
      </c>
      <c r="E38" s="18" t="n">
        <v>56</v>
      </c>
      <c r="F38" s="15" t="n"/>
      <c r="G38" s="15" t="inlineStr"/>
    </row>
    <row r="39" ht="19" customHeight="1">
      <c r="A39" s="12" t="n">
        <v>12</v>
      </c>
      <c r="B39" s="14" t="inlineStr">
        <is>
          <t>facebook_message_friend</t>
        </is>
      </c>
      <c r="C39" s="15" t="inlineStr">
        <is>
          <t>Nhắn tin đến bạn bè</t>
        </is>
      </c>
      <c r="D39" s="18" t="n">
        <v>135</v>
      </c>
      <c r="E39" s="18" t="n">
        <v>69</v>
      </c>
      <c r="F39" s="15" t="n"/>
      <c r="G39" s="15" t="inlineStr"/>
    </row>
    <row r="40" ht="19" customHeight="1">
      <c r="A40" s="12" t="n">
        <v>13</v>
      </c>
      <c r="B40" s="14" t="inlineStr">
        <is>
          <t>facebook_group_invite</t>
        </is>
      </c>
      <c r="C40" s="15" t="inlineStr">
        <is>
          <t>Mời vào group</t>
        </is>
      </c>
      <c r="D40" s="18" t="n">
        <v>40</v>
      </c>
      <c r="E40" s="18" t="n">
        <v>19</v>
      </c>
      <c r="F40" s="15" t="n"/>
      <c r="G40" s="15" t="inlineStr"/>
    </row>
    <row r="41">
      <c r="A41" s="21" t="n"/>
      <c r="B41" s="22" t="inlineStr">
        <is>
          <t>TỔNG</t>
        </is>
      </c>
      <c r="C41" s="21" t="n"/>
      <c r="D41" s="23">
        <f>SUM(D28:D40)</f>
        <v>13824</v>
      </c>
      <c r="E41" s="23">
        <f>SUM(E28:E40)</f>
        <v>5931</v>
      </c>
      <c r="F41" s="21" t="n"/>
      <c r="G41" s="21" t="n"/>
    </row>
    <row r="43">
      <c r="A43" s="17" t="inlineStr">
        <is>
          <t>D. CHIẾN DỊCH FACEBOOK ĐANG “TẠM DỪNG” THEO GHI CHÚ (chưa xoá, 28/09/2026)</t>
        </is>
      </c>
    </row>
    <row r="44" ht="32" customHeight="1">
      <c r="A44" s="3" t="inlineStr">
        <is>
          <t>#</t>
        </is>
      </c>
      <c r="B44" s="3" t="inlineStr">
        <is>
          <t>Ghi chú (note) của chiến dịch</t>
        </is>
      </c>
      <c r="C44" s="3" t="inlineStr">
        <is>
          <t>Diễn giải</t>
        </is>
      </c>
      <c r="D44" s="3" t="inlineStr">
        <is>
          <t>Số chiến dịch</t>
        </is>
      </c>
      <c r="E44" s="3" t="inlineStr"/>
      <c r="F44" s="3" t="inlineStr"/>
      <c r="G44" s="3" t="inlineStr">
        <is>
          <t>Lỗi liên quan (STT)</t>
        </is>
      </c>
    </row>
    <row r="45" ht="19" customHeight="1">
      <c r="A45" s="12" t="n">
        <v>1</v>
      </c>
      <c r="B45" s="14" t="inlineStr">
        <is>
          <t>(trống)</t>
        </is>
      </c>
      <c r="C45" s="15" t="inlineStr">
        <is>
          <t>Người dùng tự tạm dừng hoặc không rõ lý do</t>
        </is>
      </c>
      <c r="D45" s="18" t="n">
        <v>1154</v>
      </c>
      <c r="E45" s="15" t="n"/>
      <c r="F45" s="15" t="n"/>
      <c r="G45" s="15" t="inlineStr">
        <is>
          <t>–</t>
        </is>
      </c>
    </row>
    <row r="46" ht="32" customHeight="1">
      <c r="A46" s="12" t="n">
        <v>2</v>
      </c>
      <c r="B46" s="14" t="inlineStr">
        <is>
          <t>Có lỗi xảy ra</t>
        </is>
      </c>
      <c r="C46" s="15" t="inlineStr">
        <is>
          <t>err_undefined sau 4 lỗi liên tiếp (58 đăng group, 17 comment bài post, 7 nhắn UID, 1 inbox)</t>
        </is>
      </c>
      <c r="D46" s="18" t="n">
        <v>83</v>
      </c>
      <c r="E46" s="15" t="n"/>
      <c r="F46" s="15" t="n"/>
      <c r="G46" s="15" t="inlineStr">
        <is>
          <t>16</t>
        </is>
      </c>
    </row>
    <row r="47" ht="32" customHeight="1">
      <c r="A47" s="12" t="n">
        <v>3</v>
      </c>
      <c r="B47" s="14" t="inlineStr">
        <is>
          <t>Facebook báo giới hạn tần suất bạn đăng bài</t>
        </is>
      </c>
      <c r="C47" s="15" t="inlineStr">
        <is>
          <t>err_group_post_frequency_limit – không tự chạy lại</t>
        </is>
      </c>
      <c r="D47" s="18" t="n">
        <v>58</v>
      </c>
      <c r="E47" s="15" t="n"/>
      <c r="F47" s="15" t="n"/>
      <c r="G47" s="15" t="inlineStr">
        <is>
          <t>2</t>
        </is>
      </c>
    </row>
    <row r="48" ht="19" customHeight="1">
      <c r="A48" s="12" t="n">
        <v>4</v>
      </c>
      <c r="B48" s="14" t="inlineStr">
        <is>
          <t>Chờ data mới</t>
        </is>
      </c>
      <c r="C48" s="15" t="inlineStr">
        <is>
          <t>Không phải lỗi</t>
        </is>
      </c>
      <c r="D48" s="18" t="n">
        <v>16</v>
      </c>
      <c r="E48" s="15" t="n"/>
      <c r="F48" s="15" t="n"/>
      <c r="G48" s="15" t="inlineStr">
        <is>
          <t>–</t>
        </is>
      </c>
    </row>
    <row r="49" ht="32" customHeight="1">
      <c r="A49" s="12" t="n">
        <v>5</v>
      </c>
      <c r="B49" s="14" t="inlineStr">
        <is>
          <t>Dừng sau N data lỗi/thất bại liên tiếp (ngưỡng 4): &lt;lý do kỹ thuật / AI&gt;</t>
        </is>
      </c>
      <c r="C49" s="15" t="inlineStr">
        <is>
          <t>Lý do: ô đăng bài, form, ô bình luận, ô nhập tin nhắn, Block không tìm thấy</t>
        </is>
      </c>
      <c r="D49" s="18" t="n">
        <v>13</v>
      </c>
      <c r="E49" s="15" t="n"/>
      <c r="F49" s="15" t="n"/>
      <c r="G49" s="15" t="inlineStr">
        <is>
          <t>1, 5, 7, 13, 15</t>
        </is>
      </c>
    </row>
    <row r="50" ht="19" customHeight="1">
      <c r="A50" s="12" t="n">
        <v>6</v>
      </c>
      <c r="B50" s="14" t="inlineStr">
        <is>
          <t>Không dùng được media “&lt;file&gt;” …</t>
        </is>
      </c>
      <c r="C50" s="15" t="inlineStr">
        <is>
          <t>Thiếu file ảnh/video</t>
        </is>
      </c>
      <c r="D50" s="18" t="n">
        <v>7</v>
      </c>
      <c r="E50" s="15" t="n"/>
      <c r="F50" s="15" t="n"/>
      <c r="G50" s="15" t="inlineStr">
        <is>
          <t>22</t>
        </is>
      </c>
    </row>
    <row r="51" ht="19" customHeight="1">
      <c r="A51" s="12" t="n">
        <v>7</v>
      </c>
      <c r="B51" s="14" t="inlineStr">
        <is>
          <t>Không chuyển về được danh tính ban đầu …</t>
        </is>
      </c>
      <c r="C51" s="15" t="inlineStr">
        <is>
          <t>Chuyển danh tính Page lỗi</t>
        </is>
      </c>
      <c r="D51" s="18" t="n">
        <v>5</v>
      </c>
      <c r="E51" s="15" t="n"/>
      <c r="F51" s="15" t="n"/>
      <c r="G51" s="15" t="inlineStr">
        <is>
          <t>26</t>
        </is>
      </c>
    </row>
    <row r="52" ht="19" customHeight="1">
      <c r="A52" s="12" t="n">
        <v>8</v>
      </c>
      <c r="B52" s="14" t="inlineStr">
        <is>
          <t>Facebook báo giới hạn tần suất comment</t>
        </is>
      </c>
      <c r="C52" s="15" t="inlineStr">
        <is>
          <t>err_comment_frequency_limit</t>
        </is>
      </c>
      <c r="D52" s="18" t="n">
        <v>3</v>
      </c>
      <c r="E52" s="15" t="n"/>
      <c r="F52" s="15" t="n"/>
      <c r="G52" s="15" t="inlineStr">
        <is>
          <t>8</t>
        </is>
      </c>
    </row>
    <row r="53" ht="19" customHeight="1">
      <c r="A53" s="12" t="n">
        <v>9</v>
      </c>
      <c r="B53" s="14" t="inlineStr">
        <is>
          <t>Đang chờ tạm dừng</t>
        </is>
      </c>
      <c r="C53" s="15" t="inlineStr">
        <is>
          <t>Chờ lượt hiện tại kết thúc</t>
        </is>
      </c>
      <c r="D53" s="18" t="n">
        <v>3</v>
      </c>
      <c r="E53" s="15" t="n"/>
      <c r="F53" s="15" t="n"/>
      <c r="G53" s="15" t="inlineStr">
        <is>
          <t>–</t>
        </is>
      </c>
    </row>
    <row r="54" ht="19" customHeight="1">
      <c r="A54" s="12" t="n">
        <v>10</v>
      </c>
      <c r="B54" s="14" t="inlineStr">
        <is>
          <t>Lịch chạy không hợp lệ …</t>
        </is>
      </c>
      <c r="C54" s="15" t="inlineStr">
        <is>
          <t>Cấu hình chiến dịch</t>
        </is>
      </c>
      <c r="D54" s="18" t="n">
        <v>2</v>
      </c>
      <c r="E54" s="15" t="n"/>
      <c r="F54" s="15" t="n"/>
      <c r="G54" s="15" t="inlineStr">
        <is>
          <t>31</t>
        </is>
      </c>
    </row>
    <row r="55" ht="19" customHeight="1">
      <c r="A55" s="12" t="n">
        <v>11</v>
      </c>
      <c r="B55" s="14" t="inlineStr">
        <is>
          <t>Không tìm thấy workflow chạy bằng Page.</t>
        </is>
      </c>
      <c r="C55" s="15" t="inlineStr">
        <is>
          <t>Cấu hình</t>
        </is>
      </c>
      <c r="D55" s="18" t="n">
        <v>1</v>
      </c>
      <c r="E55" s="15" t="n"/>
      <c r="F55" s="15" t="n"/>
      <c r="G55" s="15" t="inlineStr">
        <is>
          <t>31</t>
        </is>
      </c>
    </row>
    <row r="56" ht="19" customHeight="1">
      <c r="A56" s="12" t="n">
        <v>12</v>
      </c>
      <c r="B56" s="14" t="inlineStr">
        <is>
          <t>ERR_TUNNEL_CONNECTION_FAILED …</t>
        </is>
      </c>
      <c r="C56" s="15" t="inlineStr">
        <is>
          <t>Proxy</t>
        </is>
      </c>
      <c r="D56" s="18" t="n">
        <v>1</v>
      </c>
      <c r="E56" s="15" t="n"/>
      <c r="F56" s="15" t="n"/>
      <c r="G56" s="15" t="inlineStr">
        <is>
          <t>14</t>
        </is>
      </c>
    </row>
    <row r="57">
      <c r="A57" s="21" t="n"/>
      <c r="B57" s="22" t="inlineStr">
        <is>
          <t>TỔNG</t>
        </is>
      </c>
      <c r="C57" s="21" t="n"/>
      <c r="D57" s="23">
        <f>SUM(D45:D56)</f>
        <v>1346</v>
      </c>
      <c r="E57" s="21" t="n"/>
      <c r="F57" s="21" t="n"/>
      <c r="G57" s="21" t="n"/>
    </row>
    <row r="59">
      <c r="A59" s="17" t="inlineStr">
        <is>
          <t>E. BỘ ĐẾM LỖI LIÊN TIẾP – auto_campaign_error_state (lý do gần nhất, top 18)</t>
        </is>
      </c>
    </row>
    <row r="60" ht="32" customHeight="1">
      <c r="A60" s="3" t="inlineStr">
        <is>
          <t>#</t>
        </is>
      </c>
      <c r="B60" s="3" t="inlineStr">
        <is>
          <t>Loại chiến dịch</t>
        </is>
      </c>
      <c r="C60" s="3" t="inlineStr">
        <is>
          <t>Lý do gần nhất (last_reason, rút gọn)</t>
        </is>
      </c>
      <c r="D60" s="3" t="inlineStr">
        <is>
          <t>Số chiến dịch</t>
        </is>
      </c>
      <c r="E60" s="3" t="inlineStr">
        <is>
          <t>Tối đa liên tiếp</t>
        </is>
      </c>
      <c r="F60" s="3" t="inlineStr"/>
      <c r="G60" s="3" t="inlineStr">
        <is>
          <t>Lỗi liên quan (STT)</t>
        </is>
      </c>
    </row>
    <row r="61" ht="19" customHeight="1">
      <c r="A61" s="12" t="n">
        <v>1</v>
      </c>
      <c r="B61" s="14" t="inlineStr">
        <is>
          <t>Đăng bài vào group</t>
        </is>
      </c>
      <c r="C61" s="15" t="inlineStr">
        <is>
          <t>waitForSelector … “đang nghĩ gì” (ô đăng bài)</t>
        </is>
      </c>
      <c r="D61" s="18" t="n">
        <v>491</v>
      </c>
      <c r="E61" s="18" t="n">
        <v>36</v>
      </c>
      <c r="F61" s="15" t="n"/>
      <c r="G61" s="15" t="inlineStr">
        <is>
          <t>1</t>
        </is>
      </c>
    </row>
    <row r="62" ht="19" customHeight="1">
      <c r="A62" s="12" t="n">
        <v>2</v>
      </c>
      <c r="B62" s="14" t="inlineStr">
        <is>
          <t>Đăng bài vào group</t>
        </is>
      </c>
      <c r="C62" s="15" t="inlineStr">
        <is>
          <t>Có lỗi xảy ra</t>
        </is>
      </c>
      <c r="D62" s="18" t="n">
        <v>426</v>
      </c>
      <c r="E62" s="18" t="n">
        <v>22</v>
      </c>
      <c r="F62" s="15" t="n"/>
      <c r="G62" s="15" t="inlineStr">
        <is>
          <t>16</t>
        </is>
      </c>
    </row>
    <row r="63" ht="19" customHeight="1">
      <c r="A63" s="12" t="n">
        <v>3</v>
      </c>
      <c r="B63" s="14" t="inlineStr">
        <is>
          <t>Comment seeding (bài post)</t>
        </is>
      </c>
      <c r="C63" s="15" t="inlineStr">
        <is>
          <t>waitForSelector … textbox “Bình luận”</t>
        </is>
      </c>
      <c r="D63" s="18" t="n">
        <v>247</v>
      </c>
      <c r="E63" s="18" t="n">
        <v>21</v>
      </c>
      <c r="F63" s="15" t="n"/>
      <c r="G63" s="15" t="inlineStr">
        <is>
          <t>7</t>
        </is>
      </c>
    </row>
    <row r="64" ht="19" customHeight="1">
      <c r="A64" s="12" t="n">
        <v>4</v>
      </c>
      <c r="B64" s="14" t="inlineStr">
        <is>
          <t>Đăng bài trang cá nhân</t>
        </is>
      </c>
      <c r="C64" s="15" t="inlineStr">
        <is>
          <t>waitForSelector … nút Đăng/Post</t>
        </is>
      </c>
      <c r="D64" s="18" t="n">
        <v>194</v>
      </c>
      <c r="E64" s="18" t="n">
        <v>9</v>
      </c>
      <c r="F64" s="15" t="n"/>
      <c r="G64" s="15" t="inlineStr">
        <is>
          <t>21</t>
        </is>
      </c>
    </row>
    <row r="65" ht="19" customHeight="1">
      <c r="A65" s="12" t="n">
        <v>5</v>
      </c>
      <c r="B65" s="14" t="inlineStr">
        <is>
          <t>Comment seeding (bài post)</t>
        </is>
      </c>
      <c r="C65" s="15" t="inlineStr">
        <is>
          <t>Có lỗi xảy ra</t>
        </is>
      </c>
      <c r="D65" s="18" t="n">
        <v>132</v>
      </c>
      <c r="E65" s="18" t="n">
        <v>24</v>
      </c>
      <c r="F65" s="15" t="n"/>
      <c r="G65" s="15" t="inlineStr">
        <is>
          <t>16</t>
        </is>
      </c>
    </row>
    <row r="66" ht="19" customHeight="1">
      <c r="A66" s="12" t="n">
        <v>6</v>
      </c>
      <c r="B66" s="14" t="inlineStr">
        <is>
          <t>Đăng bài vào group</t>
        </is>
      </c>
      <c r="C66" s="15" t="inlineStr">
        <is>
          <t>waitForSelector … contenteditable (form đăng bài)</t>
        </is>
      </c>
      <c r="D66" s="18" t="n">
        <v>101</v>
      </c>
      <c r="E66" s="18" t="n">
        <v>41</v>
      </c>
      <c r="F66" s="15" t="n"/>
      <c r="G66" s="15" t="inlineStr">
        <is>
          <t>13</t>
        </is>
      </c>
    </row>
    <row r="67" ht="19" customHeight="1">
      <c r="A67" s="12" t="n">
        <v>7</v>
      </c>
      <c r="B67" s="14" t="inlineStr">
        <is>
          <t>Nhắn tin khách inbox page</t>
        </is>
      </c>
      <c r="C67" s="15" t="inlineStr">
        <is>
          <t>Có lỗi xảy ra</t>
        </is>
      </c>
      <c r="D67" s="18" t="n">
        <v>48</v>
      </c>
      <c r="E67" s="18" t="n">
        <v>30</v>
      </c>
      <c r="F67" s="15" t="n"/>
      <c r="G67" s="15" t="inlineStr">
        <is>
          <t>5, 16</t>
        </is>
      </c>
    </row>
    <row r="68" ht="19" customHeight="1">
      <c r="A68" s="12" t="n">
        <v>8</v>
      </c>
      <c r="B68" s="14" t="inlineStr">
        <is>
          <t>Đăng bài trang cá nhân</t>
        </is>
      </c>
      <c r="C68" s="15" t="inlineStr">
        <is>
          <t>waitForSelector … “đang nghĩ gì”</t>
        </is>
      </c>
      <c r="D68" s="18" t="n">
        <v>46</v>
      </c>
      <c r="E68" s="18" t="n">
        <v>2</v>
      </c>
      <c r="F68" s="15" t="n"/>
      <c r="G68" s="15" t="inlineStr">
        <is>
          <t>1</t>
        </is>
      </c>
    </row>
    <row r="69" ht="19" customHeight="1">
      <c r="A69" s="12" t="n">
        <v>9</v>
      </c>
      <c r="B69" s="14" t="inlineStr">
        <is>
          <t>Comment seeding (group/page/profile)</t>
        </is>
      </c>
      <c r="C69" s="15" t="inlineStr">
        <is>
          <t>Có lỗi xảy ra</t>
        </is>
      </c>
      <c r="D69" s="18" t="n">
        <v>42</v>
      </c>
      <c r="E69" s="18" t="n">
        <v>9</v>
      </c>
      <c r="F69" s="15" t="n"/>
      <c r="G69" s="15" t="inlineStr">
        <is>
          <t>16</t>
        </is>
      </c>
    </row>
    <row r="70" ht="19" customHeight="1">
      <c r="A70" s="12" t="n">
        <v>10</v>
      </c>
      <c r="B70" s="14" t="inlineStr">
        <is>
          <t>Đăng bài trang cá nhân</t>
        </is>
      </c>
      <c r="C70" s="15" t="inlineStr">
        <is>
          <t>waitForSelector … contenteditable</t>
        </is>
      </c>
      <c r="D70" s="18" t="n">
        <v>42</v>
      </c>
      <c r="E70" s="18" t="n">
        <v>1</v>
      </c>
      <c r="F70" s="15" t="n"/>
      <c r="G70" s="15" t="inlineStr">
        <is>
          <t>13</t>
        </is>
      </c>
    </row>
    <row r="71" ht="19" customHeight="1">
      <c r="A71" s="12" t="n">
        <v>11</v>
      </c>
      <c r="B71" s="14" t="inlineStr">
        <is>
          <t>Comment seeding (bài post)</t>
        </is>
      </c>
      <c r="C71" s="15" t="inlineStr">
        <is>
          <t>fb_resolve_url: missing input</t>
        </is>
      </c>
      <c r="D71" s="18" t="n">
        <v>33</v>
      </c>
      <c r="E71" s="18" t="n">
        <v>4</v>
      </c>
      <c r="F71" s="15" t="n"/>
      <c r="G71" s="15" t="inlineStr">
        <is>
          <t>31</t>
        </is>
      </c>
    </row>
    <row r="72" ht="32" customHeight="1">
      <c r="A72" s="12" t="n">
        <v>12</v>
      </c>
      <c r="B72" s="14" t="inlineStr">
        <is>
          <t>Đăng bài trang cá nhân</t>
        </is>
      </c>
      <c r="C72" s="15" t="inlineStr">
        <is>
          <t>(-356) loading facebook.com (ERR_QUIC_PROTOCOL_ERROR)</t>
        </is>
      </c>
      <c r="D72" s="18" t="n">
        <v>32</v>
      </c>
      <c r="E72" s="18" t="n">
        <v>1</v>
      </c>
      <c r="F72" s="15" t="n"/>
      <c r="G72" s="15" t="inlineStr">
        <is>
          <t>14</t>
        </is>
      </c>
    </row>
    <row r="73" ht="19" customHeight="1">
      <c r="A73" s="12" t="n">
        <v>13</v>
      </c>
      <c r="B73" s="14" t="inlineStr">
        <is>
          <t>Nhắn tin &amp; kết bạn UID</t>
        </is>
      </c>
      <c r="C73" s="15" t="inlineStr">
        <is>
          <t>Có lỗi xảy ra</t>
        </is>
      </c>
      <c r="D73" s="18" t="n">
        <v>32</v>
      </c>
      <c r="E73" s="18" t="n">
        <v>8</v>
      </c>
      <c r="F73" s="15" t="n"/>
      <c r="G73" s="15" t="inlineStr">
        <is>
          <t>9, 16</t>
        </is>
      </c>
    </row>
    <row r="74" ht="19" customHeight="1">
      <c r="A74" s="12" t="n">
        <v>14</v>
      </c>
      <c r="B74" s="14" t="inlineStr">
        <is>
          <t>Tham gia group</t>
        </is>
      </c>
      <c r="C74" s="15" t="inlineStr">
        <is>
          <t>Có lỗi xảy ra</t>
        </is>
      </c>
      <c r="D74" s="18" t="n">
        <v>32</v>
      </c>
      <c r="E74" s="18" t="n">
        <v>2</v>
      </c>
      <c r="F74" s="15" t="n"/>
      <c r="G74" s="15" t="inlineStr">
        <is>
          <t>24, 31</t>
        </is>
      </c>
    </row>
    <row r="75" ht="19" customHeight="1">
      <c r="A75" s="12" t="n">
        <v>15</v>
      </c>
      <c r="B75" s="14" t="inlineStr">
        <is>
          <t>Nhắn tin khách inbox page</t>
        </is>
      </c>
      <c r="C75" s="15" t="inlineStr">
        <is>
          <t>Không tìm thấy ô để nhập tin nhắn</t>
        </is>
      </c>
      <c r="D75" s="18" t="n">
        <v>23</v>
      </c>
      <c r="E75" s="18" t="n">
        <v>21</v>
      </c>
      <c r="F75" s="15" t="n"/>
      <c r="G75" s="15" t="inlineStr">
        <is>
          <t>5</t>
        </is>
      </c>
    </row>
    <row r="76" ht="32" customHeight="1">
      <c r="A76" s="12" t="n">
        <v>16</v>
      </c>
      <c r="B76" s="14" t="inlineStr">
        <is>
          <t>Đăng bài vào group</t>
        </is>
      </c>
      <c r="C76" s="15" t="inlineStr">
        <is>
          <t>Failed to update campaign input data: TypeError: fetch failed</t>
        </is>
      </c>
      <c r="D76" s="18" t="n">
        <v>23</v>
      </c>
      <c r="E76" s="18" t="n">
        <v>5</v>
      </c>
      <c r="F76" s="15" t="n"/>
      <c r="G76" s="15" t="inlineStr">
        <is>
          <t>29</t>
        </is>
      </c>
    </row>
    <row r="77" ht="32" customHeight="1">
      <c r="A77" s="12" t="n">
        <v>17</v>
      </c>
      <c r="B77" s="14" t="inlineStr">
        <is>
          <t>Comment seeding (group/page/profile)</t>
        </is>
      </c>
      <c r="C77" s="15" t="inlineStr">
        <is>
          <t>Không comment được bài đầu tiên: waitForSelector …</t>
        </is>
      </c>
      <c r="D77" s="18" t="n">
        <v>22</v>
      </c>
      <c r="E77" s="18" t="n">
        <v>6</v>
      </c>
      <c r="F77" s="15" t="n"/>
      <c r="G77" s="15" t="inlineStr">
        <is>
          <t>7</t>
        </is>
      </c>
    </row>
    <row r="78" ht="19" customHeight="1">
      <c r="A78" s="12" t="n">
        <v>18</v>
      </c>
      <c r="B78" s="14" t="inlineStr">
        <is>
          <t>Nhắn tin khách inbox page</t>
        </is>
      </c>
      <c r="C78" s="15" t="inlineStr">
        <is>
          <t>Lỗi khi nhập tên vào ô tìm kiếm</t>
        </is>
      </c>
      <c r="D78" s="18" t="n">
        <v>11</v>
      </c>
      <c r="E78" s="18" t="n">
        <v>52</v>
      </c>
      <c r="F78" s="15" t="n"/>
      <c r="G78" s="15" t="inlineStr">
        <is>
          <t>19</t>
        </is>
      </c>
    </row>
    <row r="80" ht="30" customHeight="1">
      <c r="B80" s="25" t="inlineStr">
        <is>
          <t>Ghi chú: auto_account_action_status – không hành động Facebook nào đang/đã bị khoá bởi policy (is_disable = false, disabled_error_code trống). auto_account_error_state – chỉ còn dữ liệu Facebook cũ tới 05/06/2026 (code không còn ghi).</t>
        </is>
      </c>
    </row>
  </sheetData>
  <mergeCells count="3">
    <mergeCell ref="B80:G80"/>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6" customWidth="1" min="1" max="1"/>
    <col width="28" customWidth="1" min="2" max="2"/>
    <col width="16" customWidth="1" min="3" max="3"/>
    <col width="30" customWidth="1" min="4" max="4"/>
    <col width="16" customWidth="1" min="5" max="5"/>
    <col width="26" customWidth="1" min="6" max="6"/>
    <col width="22" customWidth="1" min="7" max="7"/>
    <col width="16" customWidth="1" min="8" max="8"/>
    <col width="34" customWidth="1" min="9" max="9"/>
    <col width="44" customWidth="1" min="10" max="10"/>
  </cols>
  <sheetData>
    <row r="1" ht="24" customHeight="1">
      <c r="A1" s="1" t="inlineStr">
        <is>
          <t>CẤU HÌNH BẢNG auto_error LIÊN QUAN FACEBOOK (đang chạy, 28/09/2026)</t>
        </is>
      </c>
    </row>
    <row r="2" ht="26" customHeight="1">
      <c r="A2" s="2" t="inlineStr">
        <is>
          <t>Các cột detail_status, counts_toward_limit, counts_toward_bad_target, update_login_status, zalo_error_codes, zalo_action_codes chỉ được code Zalo đọc – với Facebook không có tác dụng. Cột error_element (XPath) không được code đọc ở bất kỳ đâu (chỉ được map trong mappers.ts:168).</t>
        </is>
      </c>
    </row>
    <row r="4" ht="40" customHeight="1">
      <c r="A4" s="3" t="inlineStr">
        <is>
          <t>id</t>
        </is>
      </c>
      <c r="B4" s="3" t="inlineStr">
        <is>
          <t>error_code</t>
        </is>
      </c>
      <c r="C4" s="3" t="inlineStr">
        <is>
          <t>error_type</t>
        </is>
      </c>
      <c r="D4" s="3" t="inlineStr">
        <is>
          <t>noti_campaign / noti_running_process</t>
        </is>
      </c>
      <c r="E4" s="3" t="inlineStr">
        <is>
          <t>update_status_campaign</t>
        </is>
      </c>
      <c r="F4" s="3" t="inlineStr">
        <is>
          <t>disable_action_codes + thời gian</t>
        </is>
      </c>
      <c r="G4" s="3" t="inlineStr">
        <is>
          <t>count_consecutive_errors (ngưỡng)</t>
        </is>
      </c>
      <c r="H4" s="3" t="inlineStr">
        <is>
          <t>update_status_account</t>
        </is>
      </c>
      <c r="I4" s="3" t="inlineStr">
        <is>
          <t>error_element (XPath)</t>
        </is>
      </c>
      <c r="J4" s="3" t="inlineStr">
        <is>
          <t>Thực tế code có dùng? / Nhận xét</t>
        </is>
      </c>
    </row>
    <row r="5" ht="32" customHeight="1">
      <c r="A5" s="12" t="n">
        <v>1</v>
      </c>
      <c r="B5" s="14" t="inlineStr">
        <is>
          <t>err_logout</t>
        </is>
      </c>
      <c r="C5" s="15" t="inlineStr">
        <is>
          <t>auth</t>
        </is>
      </c>
      <c r="D5" s="15" t="inlineStr">
        <is>
          <t>(trống) / “Tài khoản bị đăng xuất”</t>
        </is>
      </c>
      <c r="E5" s="15" t="inlineStr">
        <is>
          <t>(trống → “chờ xử lý”)</t>
        </is>
      </c>
      <c r="F5" s="15" t="inlineStr">
        <is>
          <t>[]</t>
        </is>
      </c>
      <c r="G5" s="15" t="inlineStr">
        <is>
          <t>–</t>
        </is>
      </c>
      <c r="H5" s="15" t="inlineStr">
        <is>
          <t>–</t>
        </is>
      </c>
      <c r="I5" s="15" t="inlineStr">
        <is>
          <t>–</t>
        </is>
      </c>
      <c r="J5" s="15" t="inlineStr">
        <is>
          <t>Có. Dùng cho mọi login_status ≠ “đã đăng nhập” (kể cả “checkpoint”).</t>
        </is>
      </c>
    </row>
    <row r="6" ht="32" customHeight="1">
      <c r="A6" s="12" t="n">
        <v>2</v>
      </c>
      <c r="B6" s="14" t="inlineStr">
        <is>
          <t>error_limit_in_day</t>
        </is>
      </c>
      <c r="C6" s="15" t="inlineStr">
        <is>
          <t>business rule</t>
        </is>
      </c>
      <c r="D6" s="15" t="inlineStr">
        <is>
          <t>“Đạt giới hạn trong ngày là [x]”</t>
        </is>
      </c>
      <c r="E6" s="15" t="inlineStr">
        <is>
          <t>(trống → “chờ xử lý”)</t>
        </is>
      </c>
      <c r="F6" s="15" t="inlineStr">
        <is>
          <t>[]</t>
        </is>
      </c>
      <c r="G6" s="15" t="inlineStr">
        <is>
          <t>–</t>
        </is>
      </c>
      <c r="H6" s="15" t="inlineStr">
        <is>
          <t>–</t>
        </is>
      </c>
      <c r="I6" s="15" t="inlineStr">
        <is>
          <t>–</t>
        </is>
      </c>
      <c r="J6" s="15" t="inlineStr">
        <is>
          <t>Có. count_action_in_day ≥ dailyLimit (mặc định 30).</t>
        </is>
      </c>
    </row>
    <row r="7" ht="32" customHeight="1">
      <c r="A7" s="12" t="n">
        <v>3</v>
      </c>
      <c r="B7" s="14" t="inlineStr">
        <is>
          <t>error_limit_in_hour</t>
        </is>
      </c>
      <c r="C7" s="15" t="inlineStr">
        <is>
          <t>business rule</t>
        </is>
      </c>
      <c r="D7" s="15" t="inlineStr">
        <is>
          <t>“Đạt giới hạn trong giờ là [x]” / “… tạm nghỉ [t] phút”</t>
        </is>
      </c>
      <c r="E7" s="15" t="inlineStr">
        <is>
          <t>(trống → “chờ xử lý”)</t>
        </is>
      </c>
      <c r="F7" s="15" t="inlineStr">
        <is>
          <t>[]</t>
        </is>
      </c>
      <c r="G7" s="15" t="inlineStr">
        <is>
          <t>–</t>
        </is>
      </c>
      <c r="H7" s="15" t="inlineStr">
        <is>
          <t>–</t>
        </is>
      </c>
      <c r="I7" s="15" t="inlineStr">
        <is>
          <t>–</t>
        </is>
      </c>
      <c r="J7" s="15" t="inlineStr">
        <is>
          <t>Có. Mặc định 9 lượt / 65 phút. Note dùng noti_campaign nên không hiện [t].</t>
        </is>
      </c>
    </row>
    <row r="8" ht="32" customHeight="1">
      <c r="A8" s="12" t="n">
        <v>4</v>
      </c>
      <c r="B8" s="14" t="inlineStr">
        <is>
          <t>err_undefined</t>
        </is>
      </c>
      <c r="C8" s="15" t="inlineStr">
        <is>
          <t>system</t>
        </is>
      </c>
      <c r="D8" s="15" t="inlineStr">
        <is>
          <t>“Có lỗi xảy ra”</t>
        </is>
      </c>
      <c r="E8" s="15" t="inlineStr">
        <is>
          <t>tạm dừng</t>
        </is>
      </c>
      <c r="F8" s="15" t="inlineStr">
        <is>
          <t>[]</t>
        </is>
      </c>
      <c r="G8" s="15" t="inlineStr">
        <is>
          <t>4 (sửa từ 5 ngày 25/09/2026)</t>
        </is>
      </c>
      <c r="H8" s="15" t="inlineStr">
        <is>
          <t>–</t>
        </is>
      </c>
      <c r="I8" s="15" t="inlineStr">
        <is>
          <t>–</t>
        </is>
      </c>
      <c r="J8" s="15" t="inlineStr">
        <is>
          <t>Có. Mã dự phòng cho &gt;90% lượt lỗi Facebook.</t>
        </is>
      </c>
    </row>
    <row r="9" ht="45" customHeight="1">
      <c r="A9" s="12" t="n">
        <v>5</v>
      </c>
      <c r="B9" s="14" t="inlineStr">
        <is>
          <t>err_limit_waiting_message</t>
        </is>
      </c>
      <c r="C9" s="15" t="inlineStr">
        <is>
          <t>external facebook</t>
        </is>
      </c>
      <c r="D9" s="15" t="inlineStr">
        <is>
          <t>“Bạn đã đạt giới hạn về số tin nhắn đang chờ”</t>
        </is>
      </c>
      <c r="E9" s="15" t="inlineStr">
        <is>
          <t>(trống)</t>
        </is>
      </c>
      <c r="F9" s="15" t="inlineStr">
        <is>
          <t>[fb_message_stranger] – 60 phút</t>
        </is>
      </c>
      <c r="G9" s="15" t="inlineStr">
        <is>
          <t>–</t>
        </is>
      </c>
      <c r="H9" s="15" t="inlineStr">
        <is>
          <t>–</t>
        </is>
      </c>
      <c r="I9" s="15" t="inlineStr">
        <is>
          <t>//span//span[contains(.,"Bạn đã đạt giới hạn về số tin nhắn đang chờ")]</t>
        </is>
      </c>
      <c r="J9" s="15" t="inlineStr">
        <is>
          <t>KHÔNG kích hoạt được: fb_send_message nuốt lỗi (ok:false) nên không bao giờ sinh mã này; chỉ 1 lần duy nhất 09/05/2026.</t>
        </is>
      </c>
    </row>
    <row r="10" ht="45" customHeight="1">
      <c r="A10" s="12" t="n">
        <v>6</v>
      </c>
      <c r="B10" s="14" t="inlineStr">
        <is>
          <t>err_group_post_frequency_limit</t>
        </is>
      </c>
      <c r="C10" s="15" t="inlineStr">
        <is>
          <t>external facebook</t>
        </is>
      </c>
      <c r="D10" s="15" t="inlineStr">
        <is>
          <t>“Facebook báo giới hạn tần suất bạn đăng bài”</t>
        </is>
      </c>
      <c r="E10" s="15" t="inlineStr">
        <is>
          <t>tạm dừng</t>
        </is>
      </c>
      <c r="F10" s="15" t="inlineStr">
        <is>
          <t>[] (không khoá)</t>
        </is>
      </c>
      <c r="G10" s="15" t="inlineStr">
        <is>
          <t>– (áp ngay)</t>
        </is>
      </c>
      <c r="H10" s="15" t="inlineStr">
        <is>
          <t>–</t>
        </is>
      </c>
      <c r="I10" s="15" t="inlineStr">
        <is>
          <t>//*[contains(.,'giới hạn tần suất bạn đăng bài')]</t>
        </is>
      </c>
      <c r="J10" s="15" t="inlineStr">
        <is>
          <t>Có (qua so khớp chữ). Phát hiện thực tế bằng auto_elements.GroupPostFrequencyLimitError trong block; nên thêm khoá fb_post_group có thời hạn.</t>
        </is>
      </c>
    </row>
    <row r="11" ht="45" customHeight="1">
      <c r="A11" s="12" t="n">
        <v>34</v>
      </c>
      <c r="B11" s="14" t="inlineStr">
        <is>
          <t>err_comment_frequency_limit</t>
        </is>
      </c>
      <c r="C11" s="15" t="inlineStr">
        <is>
          <t>external facebook</t>
        </is>
      </c>
      <c r="D11" s="15" t="inlineStr">
        <is>
          <t>“Facebook báo giới hạn tần suất comment”</t>
        </is>
      </c>
      <c r="E11" s="15" t="inlineStr">
        <is>
          <t>tạm dừng</t>
        </is>
      </c>
      <c r="F11" s="15" t="inlineStr">
        <is>
          <t>[] (không khoá)</t>
        </is>
      </c>
      <c r="G11" s="15" t="inlineStr">
        <is>
          <t>– (áp ngay)</t>
        </is>
      </c>
      <c r="H11" s="15" t="inlineStr">
        <is>
          <t>–</t>
        </is>
      </c>
      <c r="I11" s="15" t="inlineStr">
        <is>
          <t>//*[contains(.,'giới hạn tần suất bạn đăng bài')] (trùng #6)</t>
        </is>
      </c>
      <c r="J11" s="15" t="inlineStr">
        <is>
          <t>Có (qua so khớp chữ). Nên thêm khoá fb_comment có thời hạn; không nên dừng cả chiến dịch đăng group.</t>
        </is>
      </c>
    </row>
    <row r="13">
      <c r="A13" s="17" t="inlineStr">
        <is>
          <t>MÃ ĐỀ XUẤT BỔ SUNG VÀO auto_error (tham chiếu sheet 1)</t>
        </is>
      </c>
    </row>
    <row r="14" ht="40" customHeight="1">
      <c r="A14" s="3" t="inlineStr">
        <is>
          <t>STT</t>
        </is>
      </c>
      <c r="B14" s="3" t="inlineStr">
        <is>
          <t>error_code đề xuất</t>
        </is>
      </c>
      <c r="C14" s="3" t="inlineStr">
        <is>
          <t>error_type</t>
        </is>
      </c>
      <c r="D14" s="3" t="inlineStr">
        <is>
          <t>noti_campaign gợi ý</t>
        </is>
      </c>
      <c r="E14" s="3" t="inlineStr">
        <is>
          <t>update_status_campaign</t>
        </is>
      </c>
      <c r="F14" s="3" t="inlineStr">
        <is>
          <t>disable_action_codes gợi ý</t>
        </is>
      </c>
      <c r="G14" s="3" t="inlineStr">
        <is>
          <t>Ngưỡng</t>
        </is>
      </c>
      <c r="H14" s="3" t="inlineStr">
        <is>
          <t>Cấp xử lý</t>
        </is>
      </c>
      <c r="I14" s="3" t="inlineStr">
        <is>
          <t>Ghi chú</t>
        </is>
      </c>
      <c r="J14" s="3" t="inlineStr">
        <is>
          <t>Lỗi liên quan (STT sheet 1)</t>
        </is>
      </c>
    </row>
    <row r="15" ht="45" customHeight="1">
      <c r="A15" s="12" t="n">
        <v>1</v>
      </c>
      <c r="B15" s="14" t="inlineStr">
        <is>
          <t>err_fb_checkpoint</t>
        </is>
      </c>
      <c r="C15" s="15" t="inlineStr">
        <is>
          <t>auth</t>
        </is>
      </c>
      <c r="D15" s="15" t="inlineStr">
        <is>
          <t>Tài khoản cần xác minh (checkpoint). Vui lòng xác minh trên Facebook rồi bấm chạy tiếp.</t>
        </is>
      </c>
      <c r="E15" s="15" t="inlineStr">
        <is>
          <t>chờ xử lý</t>
        </is>
      </c>
      <c r="F15" s="15" t="inlineStr">
        <is>
          <t>Tất cả fb_* – indefinite</t>
        </is>
      </c>
      <c r="G15" s="15" t="inlineStr">
        <is>
          <t>– (áp ngay)</t>
        </is>
      </c>
      <c r="H15" s="15" t="inlineStr">
        <is>
          <t>Tài khoản</t>
        </is>
      </c>
      <c r="I15" s="15" t="inlineStr">
        <is>
          <t>update_login_status = checkpoint; update_status_account = tạm dừng</t>
        </is>
      </c>
      <c r="J15" s="15" t="inlineStr">
        <is>
          <t>3</t>
        </is>
      </c>
    </row>
    <row r="16" ht="32" customHeight="1">
      <c r="A16" s="12" t="n">
        <v>2</v>
      </c>
      <c r="B16" s="14" t="inlineStr">
        <is>
          <t>err_fb_feature_blocked</t>
        </is>
      </c>
      <c r="C16" s="15" t="inlineStr">
        <is>
          <t>external facebook</t>
        </is>
      </c>
      <c r="D16" s="15" t="inlineStr">
        <is>
          <t>Facebook tạm chặn [a] đến [t]. Chiến dịch sẽ tự chạy lại.</t>
        </is>
      </c>
      <c r="E16" s="15" t="inlineStr">
        <is>
          <t>chờ xử lý</t>
        </is>
      </c>
      <c r="F16" s="15" t="inlineStr">
        <is>
          <t>Action bị chặn – days_at_time / 24–72h</t>
        </is>
      </c>
      <c r="G16" s="15" t="inlineStr">
        <is>
          <t>– (áp ngay)</t>
        </is>
      </c>
      <c r="H16" s="15" t="inlineStr">
        <is>
          <t>Hành động</t>
        </is>
      </c>
      <c r="I16" s="15" t="inlineStr">
        <is>
          <t>Cần XPath dò thông báo chặn (VN/EN)</t>
        </is>
      </c>
      <c r="J16" s="15" t="inlineStr">
        <is>
          <t>4</t>
        </is>
      </c>
    </row>
    <row r="17" ht="45" customHeight="1">
      <c r="A17" s="12" t="n">
        <v>3</v>
      </c>
      <c r="B17" s="14" t="inlineStr">
        <is>
          <t>err_fb_group_cannot_post</t>
        </is>
      </c>
      <c r="C17" s="15" t="inlineStr">
        <is>
          <t>external facebook</t>
        </is>
      </c>
      <c r="D17" s="15" t="inlineStr">
        <is>
          <t>Không đăng được vào nhóm: [x] (chưa tham gia / chờ duyệt / chỉ admin đăng / không tồn tại).</t>
        </is>
      </c>
      <c r="E17" s="15" t="inlineStr">
        <is>
          <t>(không đổi)</t>
        </is>
      </c>
      <c r="F17" s="15" t="inlineStr">
        <is>
          <t>[]</t>
        </is>
      </c>
      <c r="G17" s="15" t="inlineStr">
        <is>
          <t>Không tính bộ đếm</t>
        </is>
      </c>
      <c r="H17" s="15" t="inlineStr">
        <is>
          <t>Target</t>
        </is>
      </c>
      <c r="I17" s="15" t="inlineStr">
        <is>
          <t>Ghi “thất bại”; lưu group không đăng được</t>
        </is>
      </c>
      <c r="J17" s="15" t="inlineStr">
        <is>
          <t>1</t>
        </is>
      </c>
    </row>
    <row r="18" ht="32" customHeight="1">
      <c r="A18" s="12" t="n">
        <v>4</v>
      </c>
      <c r="B18" s="14" t="inlineStr">
        <is>
          <t>err_fb_post_composer_not_open</t>
        </is>
      </c>
      <c r="C18" s="15" t="inlineStr">
        <is>
          <t>external facebook</t>
        </is>
      </c>
      <c r="D18" s="15" t="inlineStr">
        <is>
          <t>Không mở được form đăng bài, sẽ thử lại sau.</t>
        </is>
      </c>
      <c r="E18" s="15" t="inlineStr">
        <is>
          <t>(không đổi)</t>
        </is>
      </c>
      <c r="F18" s="15" t="inlineStr">
        <is>
          <t>[]</t>
        </is>
      </c>
      <c r="G18" s="15" t="inlineStr">
        <is>
          <t>Theo nhiều group</t>
        </is>
      </c>
      <c r="H18" s="15" t="inlineStr">
        <is>
          <t>Target / giao diện</t>
        </is>
      </c>
      <c r="I18" s="15" t="inlineStr">
        <is>
          <t>Trả target về “chờ xử lý”</t>
        </is>
      </c>
      <c r="J18" s="15" t="inlineStr">
        <is>
          <t>13</t>
        </is>
      </c>
    </row>
    <row r="19" ht="32" customHeight="1">
      <c r="A19" s="12" t="n">
        <v>5</v>
      </c>
      <c r="B19" s="14" t="inlineStr">
        <is>
          <t>err_fb_post_not_confirmed</t>
        </is>
      </c>
      <c r="C19" s="15" t="inlineStr">
        <is>
          <t>external facebook</t>
        </is>
      </c>
      <c r="D19" s="15" t="inlineStr">
        <is>
          <t>Facebook chưa xác nhận bài đăng: [x].</t>
        </is>
      </c>
      <c r="E19" s="15" t="inlineStr">
        <is>
          <t>tạm dừng nếu do nội dung</t>
        </is>
      </c>
      <c r="F19" s="15" t="inlineStr">
        <is>
          <t>[]</t>
        </is>
      </c>
      <c r="G19" s="15" t="inlineStr">
        <is>
          <t>–</t>
        </is>
      </c>
      <c r="H19" s="15" t="inlineStr">
        <is>
          <t>Target / nội dung</t>
        </is>
      </c>
      <c r="I19" s="15" t="inlineStr">
        <is>
          <t>Phân loại con theo chữ lỗi trong form</t>
        </is>
      </c>
      <c r="J19" s="15" t="inlineStr">
        <is>
          <t>12</t>
        </is>
      </c>
    </row>
    <row r="20" ht="32" customHeight="1">
      <c r="A20" s="12" t="n">
        <v>6</v>
      </c>
      <c r="B20" s="14" t="inlineStr">
        <is>
          <t>err_fb_cannot_comment</t>
        </is>
      </c>
      <c r="C20" s="15" t="inlineStr">
        <is>
          <t>external facebook</t>
        </is>
      </c>
      <c r="D20" s="15" t="inlineStr">
        <is>
          <t>Bài viết không cho bình luận: [x].</t>
        </is>
      </c>
      <c r="E20" s="15" t="inlineStr">
        <is>
          <t>(không đổi)</t>
        </is>
      </c>
      <c r="F20" s="15" t="inlineStr">
        <is>
          <t>[]</t>
        </is>
      </c>
      <c r="G20" s="15" t="inlineStr">
        <is>
          <t>Không tính bộ đếm</t>
        </is>
      </c>
      <c r="H20" s="15" t="inlineStr">
        <is>
          <t>Target</t>
        </is>
      </c>
      <c r="I20" s="15" t="inlineStr"/>
      <c r="J20" s="15" t="inlineStr">
        <is>
          <t>7</t>
        </is>
      </c>
    </row>
    <row r="21" ht="32" customHeight="1">
      <c r="A21" s="12" t="n">
        <v>7</v>
      </c>
      <c r="B21" s="14" t="inlineStr">
        <is>
          <t>err_fb_cannot_message</t>
        </is>
      </c>
      <c r="C21" s="15" t="inlineStr">
        <is>
          <t>external facebook</t>
        </is>
      </c>
      <c r="D21" s="15" t="inlineStr">
        <is>
          <t>Người nhận không nhận tin nhắn từ tài khoản này.</t>
        </is>
      </c>
      <c r="E21" s="15" t="inlineStr">
        <is>
          <t>(không đổi)</t>
        </is>
      </c>
      <c r="F21" s="15" t="inlineStr">
        <is>
          <t>[]</t>
        </is>
      </c>
      <c r="G21" s="15" t="inlineStr">
        <is>
          <t>Không tính bộ đếm</t>
        </is>
      </c>
      <c r="H21" s="15" t="inlineStr">
        <is>
          <t>Target</t>
        </is>
      </c>
      <c r="I21" s="15" t="inlineStr">
        <is>
          <t>Tách với err_limit_waiting_message / err_fb_message_blocked</t>
        </is>
      </c>
      <c r="J21" s="15" t="inlineStr">
        <is>
          <t>9</t>
        </is>
      </c>
    </row>
    <row r="22" ht="32" customHeight="1">
      <c r="A22" s="12" t="n">
        <v>8</v>
      </c>
      <c r="B22" s="14" t="inlineStr">
        <is>
          <t>err_fb_add_friend_unavailable</t>
        </is>
      </c>
      <c r="C22" s="15" t="inlineStr">
        <is>
          <t>external facebook</t>
        </is>
      </c>
      <c r="D22" s="15" t="inlineStr">
        <is>
          <t>Không thể gửi lời mời kết bạn: [x].</t>
        </is>
      </c>
      <c r="E22" s="15" t="inlineStr">
        <is>
          <t>(không đổi)</t>
        </is>
      </c>
      <c r="F22" s="15" t="inlineStr">
        <is>
          <t>[]</t>
        </is>
      </c>
      <c r="G22" s="15" t="inlineStr">
        <is>
          <t>Không tính bộ đếm</t>
        </is>
      </c>
      <c r="H22" s="15" t="inlineStr">
        <is>
          <t>Target</t>
        </is>
      </c>
      <c r="I22" s="15" t="inlineStr">
        <is>
          <t>Thêm trạng thái “đã là bạn bè”, “đã gửi lời mời”</t>
        </is>
      </c>
      <c r="J22" s="15" t="inlineStr">
        <is>
          <t>11</t>
        </is>
      </c>
    </row>
    <row r="23" ht="45" customHeight="1">
      <c r="A23" s="12" t="n">
        <v>9</v>
      </c>
      <c r="B23" s="14" t="inlineStr">
        <is>
          <t>err_fb_page_inbox_cannot_reply</t>
        </is>
      </c>
      <c r="C23" s="15" t="inlineStr">
        <is>
          <t>external facebook</t>
        </is>
      </c>
      <c r="D23" s="15" t="inlineStr">
        <is>
          <t>Không thể trả lời hội thoại này (quá hạn nhắn tin hoặc khách không nhận tin).</t>
        </is>
      </c>
      <c r="E23" s="15" t="inlineStr">
        <is>
          <t>(không đổi)</t>
        </is>
      </c>
      <c r="F23" s="15" t="inlineStr">
        <is>
          <t>[]</t>
        </is>
      </c>
      <c r="G23" s="15" t="inlineStr">
        <is>
          <t>Không tính bộ đếm</t>
        </is>
      </c>
      <c r="H23" s="15" t="inlineStr">
        <is>
          <t>Target</t>
        </is>
      </c>
      <c r="I23" s="15" t="inlineStr"/>
      <c r="J23" s="15" t="inlineStr">
        <is>
          <t>5</t>
        </is>
      </c>
    </row>
    <row r="24" ht="45" customHeight="1">
      <c r="A24" s="12" t="n">
        <v>10</v>
      </c>
      <c r="B24" s="14" t="inlineStr">
        <is>
          <t>err_fb_page_token_invalid</t>
        </is>
      </c>
      <c r="C24" s="15" t="inlineStr">
        <is>
          <t>auth</t>
        </is>
      </c>
      <c r="D24" s="15" t="inlineStr">
        <is>
          <t>Chưa lấy được quyền Page. Vui lòng mở lại tab Business rồi chạy lại.</t>
        </is>
      </c>
      <c r="E24" s="15" t="inlineStr">
        <is>
          <t>chờ xử lý</t>
        </is>
      </c>
      <c r="F24" s="15" t="inlineStr">
        <is>
          <t>fb_post_page, fb_message_page_inbox_customer – tới khi có token</t>
        </is>
      </c>
      <c r="G24" s="15" t="inlineStr">
        <is>
          <t>– (áp ngay)</t>
        </is>
      </c>
      <c r="H24" s="15" t="inlineStr">
        <is>
          <t>Tài khoản</t>
        </is>
      </c>
      <c r="I24" s="15" t="inlineStr"/>
      <c r="J24" s="15" t="inlineStr">
        <is>
          <t>20</t>
        </is>
      </c>
    </row>
    <row r="25" ht="32" customHeight="1">
      <c r="A25" s="12" t="n">
        <v>11</v>
      </c>
      <c r="B25" s="14" t="inlineStr">
        <is>
          <t>err_network / err_proxy / err_device_sleep</t>
        </is>
      </c>
      <c r="C25" s="15" t="inlineStr">
        <is>
          <t>system</t>
        </is>
      </c>
      <c r="D25" s="15" t="inlineStr">
        <is>
          <t>Mất kết nối mạng / proxy, hệ thống sẽ tự chạy lại.</t>
        </is>
      </c>
      <c r="E25" s="15" t="inlineStr">
        <is>
          <t>(không đổi)</t>
        </is>
      </c>
      <c r="F25" s="15" t="inlineStr">
        <is>
          <t>[]</t>
        </is>
      </c>
      <c r="G25" s="15" t="inlineStr">
        <is>
          <t>Không tính bộ đếm</t>
        </is>
      </c>
      <c r="H25" s="15" t="inlineStr">
        <is>
          <t>Hệ thống</t>
        </is>
      </c>
      <c r="I25" s="15" t="inlineStr">
        <is>
          <t>Retry backoff, không tiêu hao target</t>
        </is>
      </c>
      <c r="J25" s="15" t="inlineStr">
        <is>
          <t>14</t>
        </is>
      </c>
    </row>
    <row r="26" ht="45" customHeight="1">
      <c r="A26" s="12" t="n">
        <v>12</v>
      </c>
      <c r="B26" s="14" t="inlineStr">
        <is>
          <t>err_system_block_missing / err_runtime_browser / err_server_unreachable</t>
        </is>
      </c>
      <c r="C26" s="15" t="inlineStr">
        <is>
          <t>system</t>
        </is>
      </c>
      <c r="D26" s="15" t="inlineStr">
        <is>
          <t>Hệ thống đang cập nhật, chiến dịch sẽ tự chạy lại.</t>
        </is>
      </c>
      <c r="E26" s="15" t="inlineStr">
        <is>
          <t>(không đổi)</t>
        </is>
      </c>
      <c r="F26" s="15" t="inlineStr">
        <is>
          <t>[]</t>
        </is>
      </c>
      <c r="G26" s="15" t="inlineStr">
        <is>
          <t>Không tính bộ đếm</t>
        </is>
      </c>
      <c r="H26" s="15" t="inlineStr">
        <is>
          <t>Hệ thống</t>
        </is>
      </c>
      <c r="I26" s="15" t="inlineStr">
        <is>
          <t>Cảnh báo admin</t>
        </is>
      </c>
      <c r="J26" s="15" t="inlineStr">
        <is>
          <t>15, 29</t>
        </is>
      </c>
    </row>
    <row r="27" ht="19" customHeight="1">
      <c r="A27" s="12" t="n">
        <v>13</v>
      </c>
      <c r="B27" s="14" t="inlineStr">
        <is>
          <t>err_ai_service</t>
        </is>
      </c>
      <c r="C27" s="15" t="inlineStr">
        <is>
          <t>system</t>
        </is>
      </c>
      <c r="D27" s="15" t="inlineStr">
        <is>
          <t>Dịch vụ AI tạm gián đoạn.</t>
        </is>
      </c>
      <c r="E27" s="15" t="inlineStr">
        <is>
          <t>(không đổi)</t>
        </is>
      </c>
      <c r="F27" s="15" t="inlineStr">
        <is>
          <t>[]</t>
        </is>
      </c>
      <c r="G27" s="15" t="inlineStr">
        <is>
          <t>Không tính bộ đếm</t>
        </is>
      </c>
      <c r="H27" s="15" t="inlineStr">
        <is>
          <t>Hệ thống</t>
        </is>
      </c>
      <c r="I27" s="15" t="inlineStr">
        <is>
          <t>Cảnh báo admin toàn hệ thống</t>
        </is>
      </c>
      <c r="J27" s="15" t="inlineStr">
        <is>
          <t>28</t>
        </is>
      </c>
    </row>
    <row r="28" ht="45" customHeight="1">
      <c r="A28" s="12" t="n">
        <v>14</v>
      </c>
      <c r="B28" s="14" t="inlineStr">
        <is>
          <t>err_invalid_target / err_campaign_config</t>
        </is>
      </c>
      <c r="C28" s="15" t="inlineStr">
        <is>
          <t>business rule</t>
        </is>
      </c>
      <c r="D28" s="15" t="inlineStr">
        <is>
          <t>Dữ liệu không hợp lệ: [x].</t>
        </is>
      </c>
      <c r="E28" s="15" t="inlineStr">
        <is>
          <t>tạm dừng nếu là cấu hình chiến dịch</t>
        </is>
      </c>
      <c r="F28" s="15" t="inlineStr">
        <is>
          <t>[]</t>
        </is>
      </c>
      <c r="G28" s="15" t="inlineStr">
        <is>
          <t>Không tính bộ đếm</t>
        </is>
      </c>
      <c r="H28" s="15" t="inlineStr">
        <is>
          <t>Target / chiến dịch</t>
        </is>
      </c>
      <c r="I28" s="15" t="inlineStr">
        <is>
          <t>Validate khi tạo chiến dịch</t>
        </is>
      </c>
      <c r="J28" s="15" t="inlineStr">
        <is>
          <t>31</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ht="24" customHeight="1">
      <c r="A1" s="1" t="inlineStr">
        <is>
          <t>NGUỒN DỮ LIỆU, PHƯƠNG PHÁP VÀ GIỚI HẠN</t>
        </is>
      </c>
    </row>
    <row r="2" ht="24" customHeight="1">
      <c r="A2" s="3" t="inlineStr">
        <is>
          <t>Hạng mục</t>
        </is>
      </c>
      <c r="B2" s="3" t="inlineStr">
        <is>
          <t>Nội dung</t>
        </is>
      </c>
    </row>
    <row r="3" ht="32" customHeight="1">
      <c r="A3" s="14" t="inlineStr">
        <is>
          <t>Dự án dữ liệu</t>
        </is>
      </c>
      <c r="B3" s="15" t="inlineStr">
        <is>
          <t>Supabase “akachat”, ref cgjbsmqtfhqvttudyjzq (đã xác minh ref trước khi truy vấn). Chỉ chạy truy vấn đọc (SELECT), không sửa dữ liệu.</t>
        </is>
      </c>
    </row>
    <row r="4" ht="32" customHeight="1">
      <c r="A4" s="14" t="inlineStr">
        <is>
          <t>Mã nguồn</t>
        </is>
      </c>
      <c r="B4" s="15" t="inlineStr">
        <is>
          <t>Repo aligoinc/akaAgent, nhánh dev_3 (commit a3b2aea, 28/09/2026) + code block Facebook đang chạy thực tế trong bảng auto_blocks / auto_elements / auto_workflows.</t>
        </is>
      </c>
    </row>
    <row r="5" ht="32" customHeight="1">
      <c r="A5" s="14" t="inlineStr">
        <is>
          <t>Danh sách kết quả / Lịch sử hành động</t>
        </is>
      </c>
      <c r="B5" s="15" t="inlineStr">
        <is>
          <t>auto_campaign_details – 07/04/2026 → 28/09/2026, lọc theo 13 loại chiến dịch facebook_* (≈900 nghìn dòng). Gom nhóm theo loại chiến dịch, hành động, trạng thái, error_code và nội dung log đã chuẩn hoá.</t>
        </is>
      </c>
    </row>
    <row r="6" ht="32" customHeight="1">
      <c r="A6" s="14" t="inlineStr">
        <is>
          <t>Lịch sử chạy</t>
        </is>
      </c>
      <c r="B6" s="15" t="inlineStr">
        <is>
          <t>auto_runs (status = failed) – 07/05/2026 → 28/09/2026, 13 workflow Facebook; đếm số lượt, số chiến dịch và số tài khoản khác nhau cho từng nhóm thông điệp lỗi. Bổ sung workflow “Quét page quản lý” giai đoạn 13–28/09.</t>
        </is>
      </c>
    </row>
    <row r="7" ht="32" customHeight="1">
      <c r="A7" s="14" t="inlineStr">
        <is>
          <t>Trạng thái &amp; bộ đếm</t>
        </is>
      </c>
      <c r="B7" s="15" t="inlineStr">
        <is>
          <t>auto_campaigns (status, note), auto_campaign_error_state (bộ đếm lỗi liên tiếp), auto_accounts (login_status, status), auto_account_logs (chỉ có dữ liệu từ 20/09/2026), auto_account_action_status (khoá hành động), auto_account_error_state.</t>
        </is>
      </c>
    </row>
    <row r="8" ht="19" customHeight="1">
      <c r="A8" s="14" t="inlineStr">
        <is>
          <t>Cấu hình chính sách lỗi</t>
        </is>
      </c>
      <c r="B8" s="15" t="inlineStr">
        <is>
          <t>auto_error (25 dòng; 7 dòng liên quan Facebook).</t>
        </is>
      </c>
    </row>
    <row r="9" ht="32" customHeight="1">
      <c r="A9" s="14" t="inlineStr">
        <is>
          <t>Chuẩn hoá nội dung lỗi</t>
        </is>
      </c>
      <c r="B9" s="15" t="inlineStr">
        <is>
          <t>Thay URL → &lt;URL&gt;, chữ số → #, tên group/khách (đoạn giữa “vào/đến … :”) → &lt;T&gt;, rút gọn XPath sau “waitForSelector timeout:” để gom các lỗi cùng loại.</t>
        </is>
      </c>
    </row>
    <row r="10" ht="45" customHeight="1">
      <c r="A10" s="14" t="inlineStr">
        <is>
          <t>Kiểm chứng logic</t>
        </is>
      </c>
      <c r="B10" s="15" t="inlineStr">
        <is>
          <t>Đọc trực tiếp: campaignScheduler.ts (normalizeRuntimeError, applyRuntimeErrorPolicy, handleCampaignBadTarget, logMilestonesV2, executeCampaignV2), campaignRepository.ts (rate limit, getPendingCampaigns), accountPoller.ts, errorPolicyRepository.ts, mappers.ts và code các block fb_* trong DB.</t>
        </is>
      </c>
    </row>
    <row r="11" ht="45" customHeight="1">
      <c r="A11" s="14" t="inlineStr">
        <is>
          <t>Giới hạn – checkpoint / chặn tính năng</t>
        </is>
      </c>
      <c r="B11" s="15" t="inlineStr">
        <is>
          <t>Hệ thống không ghi nhận riêng các trường hợp này nên không đo trực tiếp được; nhận định nguyên nhân của các lỗi “không thấy phần tử” (ô đăng bài, ô chat, ô bình luận, ô nhập tin nhắn inbox) là suy luận từ hành vi Facebook + code, cần xác minh bằng ảnh chụp màn hình lỗi (tính năng chụp màn hình khi lỗi đã có sẵn).</t>
        </is>
      </c>
    </row>
    <row r="12" ht="32" customHeight="1">
      <c r="A12" s="14" t="inlineStr">
        <is>
          <t>Giới hạn – số liệu</t>
        </is>
      </c>
      <c r="B12" s="15" t="inlineStr">
        <is>
          <t>Chưa tách được số dòng “Bỏ qua kết bạn” trong 55.645 dòng “Kết bạn thành công”. Bảng Lịch sử hành động gộp cả bản ghi cũ tháng 4–5 chưa có action_code và không lọc cờ is_delete. Bảng Lịch sử chạy chỉ liệt kê nhóm lỗi ≥ 5 lượt (top 60).</t>
        </is>
      </c>
    </row>
    <row r="13" ht="58" customHeight="1">
      <c r="A13" s="14" t="inlineStr">
        <is>
          <t>Thuật ngữ</t>
        </is>
      </c>
      <c r="B13" s="15" t="inlineStr">
        <is>
          <t>Target / data: 1 dòng auto_campaign_input_data cần xử lý (1 group, 1 UID, 1 khách…). Bộ đếm: count_consecutive_bad_targets của chiến dịch – tới ngưỡng của mã lỗi (err_undefined = 4) thì áp policy. Tiêu hao target: dòng data bị đặt “hoàn thành” nên không bao giờ chạy lại. Trạng thái “thành công / thất bại / lỗi” theo quy ước CLAUDE.md (thất bại = FB từ chối; lỗi = lỗi phần mềm).</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Code (phân tích tự động)</dc:creator>
  <dc:title>Danh sách lỗi Facebook – phương án xử lý</dc:title>
  <dcterms:created xsi:type="dcterms:W3CDTF">2026-09-28T05:00:26Z</dcterms:created>
  <dcterms:modified xsi:type="dcterms:W3CDTF">2026-09-28T05:00:26Z</dcterms:modified>
</cp:coreProperties>
</file>